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B67BF20-31C9-4D7E-BE79-142BD0D798D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WER-A" sheetId="16" r:id="rId1"/>
    <sheet name="TOWER-B" sheetId="14" r:id="rId2"/>
    <sheet name="PODIUM&amp;HJ&amp;CLUB" sheetId="15" r:id="rId3"/>
    <sheet name="TOWER-A,B BELOW 1ST FLOOR" sheetId="17" r:id="rId4"/>
    <sheet name="TOWER-C,D BELOW 1ST FLOOR " sheetId="18" r:id="rId5"/>
    <sheet name="1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R" localSheetId="2">'[1]B-Chart'!#REF!</definedName>
    <definedName name="\R" localSheetId="0">'[1]B-Chart'!#REF!</definedName>
    <definedName name="\R" localSheetId="3">'[1]B-Chart'!#REF!</definedName>
    <definedName name="\R" localSheetId="1">'[1]B-Chart'!#REF!</definedName>
    <definedName name="\R" localSheetId="4">'[1]B-Chart'!#REF!</definedName>
    <definedName name="\R">'[1]B-Chart'!#REF!</definedName>
    <definedName name="____A99999" localSheetId="2">#REF!</definedName>
    <definedName name="____A99999" localSheetId="0">#REF!</definedName>
    <definedName name="____A99999" localSheetId="3">#REF!</definedName>
    <definedName name="____A99999" localSheetId="1">#REF!</definedName>
    <definedName name="____A99999" localSheetId="4">#REF!</definedName>
    <definedName name="____A99999">#REF!</definedName>
    <definedName name="____xlnm.Print_Area_1" localSheetId="2">#REF!</definedName>
    <definedName name="____xlnm.Print_Area_1" localSheetId="0">#REF!</definedName>
    <definedName name="____xlnm.Print_Area_1" localSheetId="3">#REF!</definedName>
    <definedName name="____xlnm.Print_Area_1" localSheetId="1">#REF!</definedName>
    <definedName name="____xlnm.Print_Area_1" localSheetId="4">#REF!</definedName>
    <definedName name="____xlnm.Print_Area_1">#REF!</definedName>
    <definedName name="___A99999" localSheetId="2">#REF!</definedName>
    <definedName name="___A99999" localSheetId="0">#REF!</definedName>
    <definedName name="___A99999" localSheetId="3">#REF!</definedName>
    <definedName name="___A99999" localSheetId="1">#REF!</definedName>
    <definedName name="___A99999" localSheetId="4">#REF!</definedName>
    <definedName name="___A99999">#REF!</definedName>
    <definedName name="___M1234">[2]EDWise!$P$2:$Q$183</definedName>
    <definedName name="___new1" localSheetId="2" hidden="1">#REF!</definedName>
    <definedName name="___new1" localSheetId="0" hidden="1">#REF!</definedName>
    <definedName name="___new1" localSheetId="3" hidden="1">#REF!</definedName>
    <definedName name="___new1" localSheetId="1" hidden="1">#REF!</definedName>
    <definedName name="___new1" localSheetId="4" hidden="1">#REF!</definedName>
    <definedName name="___new1" hidden="1">#REF!</definedName>
    <definedName name="___xlnm.Print_Area_1" localSheetId="2">#REF!</definedName>
    <definedName name="___xlnm.Print_Area_1" localSheetId="0">#REF!</definedName>
    <definedName name="___xlnm.Print_Area_1" localSheetId="3">#REF!</definedName>
    <definedName name="___xlnm.Print_Area_1" localSheetId="1">#REF!</definedName>
    <definedName name="___xlnm.Print_Area_1" localSheetId="4">#REF!</definedName>
    <definedName name="___xlnm.Print_Area_1">#REF!</definedName>
    <definedName name="__123Graph_C" localSheetId="2" hidden="1">[3]drg!#REF!</definedName>
    <definedName name="__123Graph_C" localSheetId="0" hidden="1">[3]drg!#REF!</definedName>
    <definedName name="__123Graph_C" localSheetId="3" hidden="1">[3]drg!#REF!</definedName>
    <definedName name="__123Graph_C" localSheetId="1" hidden="1">[3]drg!#REF!</definedName>
    <definedName name="__123Graph_C" localSheetId="4" hidden="1">[3]drg!#REF!</definedName>
    <definedName name="__123Graph_C" hidden="1">[3]drg!#REF!</definedName>
    <definedName name="__A99999" localSheetId="2">#REF!</definedName>
    <definedName name="__A99999" localSheetId="0">#REF!</definedName>
    <definedName name="__A99999" localSheetId="3">#REF!</definedName>
    <definedName name="__A99999" localSheetId="1">#REF!</definedName>
    <definedName name="__A99999" localSheetId="4">#REF!</definedName>
    <definedName name="__A99999">#REF!</definedName>
    <definedName name="__CAL1">[4]CAL1!$R$3:$S$29</definedName>
    <definedName name="__M1234">[2]EDWise!$P$2:$Q$183</definedName>
    <definedName name="__new1" localSheetId="2" hidden="1">#REF!</definedName>
    <definedName name="__new1" localSheetId="0" hidden="1">#REF!</definedName>
    <definedName name="__new1" localSheetId="3" hidden="1">#REF!</definedName>
    <definedName name="__new1" localSheetId="1" hidden="1">#REF!</definedName>
    <definedName name="__new1" localSheetId="4" hidden="1">#REF!</definedName>
    <definedName name="__new1" hidden="1">#REF!</definedName>
    <definedName name="__xlnm.Print_Area_1" localSheetId="2">#REF!</definedName>
    <definedName name="__xlnm.Print_Area_1" localSheetId="0">#REF!</definedName>
    <definedName name="__xlnm.Print_Area_1" localSheetId="3">#REF!</definedName>
    <definedName name="__xlnm.Print_Area_1" localSheetId="1">#REF!</definedName>
    <definedName name="__xlnm.Print_Area_1" localSheetId="4">#REF!</definedName>
    <definedName name="__xlnm.Print_Area_1">#REF!</definedName>
    <definedName name="_6382" localSheetId="2">#REF!</definedName>
    <definedName name="_6382" localSheetId="0">#REF!</definedName>
    <definedName name="_6382" localSheetId="3">#REF!</definedName>
    <definedName name="_6382" localSheetId="1">#REF!</definedName>
    <definedName name="_6382" localSheetId="4">#REF!</definedName>
    <definedName name="_6382">#REF!</definedName>
    <definedName name="_A" localSheetId="2">#REF!</definedName>
    <definedName name="_A" localSheetId="0">#REF!</definedName>
    <definedName name="_A" localSheetId="3">#REF!</definedName>
    <definedName name="_A" localSheetId="1">#REF!</definedName>
    <definedName name="_A" localSheetId="4">#REF!</definedName>
    <definedName name="_A">#REF!</definedName>
    <definedName name="_A99999" localSheetId="2">#REF!</definedName>
    <definedName name="_A99999" localSheetId="0">#REF!</definedName>
    <definedName name="_A99999" localSheetId="3">#REF!</definedName>
    <definedName name="_A99999" localSheetId="1">#REF!</definedName>
    <definedName name="_A99999" localSheetId="4">#REF!</definedName>
    <definedName name="_A99999">#REF!</definedName>
    <definedName name="_BdW01" localSheetId="2">#REF!</definedName>
    <definedName name="_BdW01" localSheetId="0">#REF!</definedName>
    <definedName name="_BdW01" localSheetId="3">#REF!</definedName>
    <definedName name="_BdW01" localSheetId="1">#REF!</definedName>
    <definedName name="_BdW01" localSheetId="4">#REF!</definedName>
    <definedName name="_BdW01">#REF!</definedName>
    <definedName name="_BdW02" localSheetId="2">#REF!</definedName>
    <definedName name="_BdW02" localSheetId="0">#REF!</definedName>
    <definedName name="_BdW02" localSheetId="3">#REF!</definedName>
    <definedName name="_BdW02" localSheetId="1">#REF!</definedName>
    <definedName name="_BdW02" localSheetId="4">#REF!</definedName>
    <definedName name="_BdW02">#REF!</definedName>
    <definedName name="_BdW03" localSheetId="2">#REF!</definedName>
    <definedName name="_BdW03" localSheetId="0">#REF!</definedName>
    <definedName name="_BdW03" localSheetId="3">#REF!</definedName>
    <definedName name="_BdW03" localSheetId="1">#REF!</definedName>
    <definedName name="_BdW03" localSheetId="4">#REF!</definedName>
    <definedName name="_BdW03">#REF!</definedName>
    <definedName name="_BdW04" localSheetId="2">#REF!</definedName>
    <definedName name="_BdW04" localSheetId="0">#REF!</definedName>
    <definedName name="_BdW04" localSheetId="3">#REF!</definedName>
    <definedName name="_BdW04" localSheetId="1">#REF!</definedName>
    <definedName name="_BdW04" localSheetId="4">#REF!</definedName>
    <definedName name="_BdW04">#REF!</definedName>
    <definedName name="_BdW05" localSheetId="2">#REF!</definedName>
    <definedName name="_BdW05" localSheetId="0">#REF!</definedName>
    <definedName name="_BdW05" localSheetId="3">#REF!</definedName>
    <definedName name="_BdW05" localSheetId="1">#REF!</definedName>
    <definedName name="_BdW05" localSheetId="4">#REF!</definedName>
    <definedName name="_BdW05">#REF!</definedName>
    <definedName name="_BdW06" localSheetId="2">#REF!</definedName>
    <definedName name="_BdW06" localSheetId="0">#REF!</definedName>
    <definedName name="_BdW06" localSheetId="3">#REF!</definedName>
    <definedName name="_BdW06" localSheetId="1">#REF!</definedName>
    <definedName name="_BdW06" localSheetId="4">#REF!</definedName>
    <definedName name="_BdW06">#REF!</definedName>
    <definedName name="_BdW07" localSheetId="2">#REF!</definedName>
    <definedName name="_BdW07" localSheetId="0">#REF!</definedName>
    <definedName name="_BdW07" localSheetId="3">#REF!</definedName>
    <definedName name="_BdW07" localSheetId="1">#REF!</definedName>
    <definedName name="_BdW07" localSheetId="4">#REF!</definedName>
    <definedName name="_BdW07">#REF!</definedName>
    <definedName name="_BdW08" localSheetId="2">#REF!</definedName>
    <definedName name="_BdW08" localSheetId="0">#REF!</definedName>
    <definedName name="_BdW08" localSheetId="3">#REF!</definedName>
    <definedName name="_BdW08" localSheetId="1">#REF!</definedName>
    <definedName name="_BdW08" localSheetId="4">#REF!</definedName>
    <definedName name="_BdW08">#REF!</definedName>
    <definedName name="_BdW09" localSheetId="2">#REF!</definedName>
    <definedName name="_BdW09" localSheetId="0">#REF!</definedName>
    <definedName name="_BdW09" localSheetId="3">#REF!</definedName>
    <definedName name="_BdW09" localSheetId="1">#REF!</definedName>
    <definedName name="_BdW09" localSheetId="4">#REF!</definedName>
    <definedName name="_BdW09">#REF!</definedName>
    <definedName name="_BdW10" localSheetId="2">#REF!</definedName>
    <definedName name="_BdW10" localSheetId="0">#REF!</definedName>
    <definedName name="_BdW10" localSheetId="3">#REF!</definedName>
    <definedName name="_BdW10" localSheetId="1">#REF!</definedName>
    <definedName name="_BdW10" localSheetId="4">#REF!</definedName>
    <definedName name="_BdW10">#REF!</definedName>
    <definedName name="_BdW11" localSheetId="2">#REF!</definedName>
    <definedName name="_BdW11" localSheetId="0">#REF!</definedName>
    <definedName name="_BdW11" localSheetId="3">#REF!</definedName>
    <definedName name="_BdW11" localSheetId="1">#REF!</definedName>
    <definedName name="_BdW11" localSheetId="4">#REF!</definedName>
    <definedName name="_BdW11">#REF!</definedName>
    <definedName name="_BdW12" localSheetId="2">#REF!</definedName>
    <definedName name="_BdW12" localSheetId="0">#REF!</definedName>
    <definedName name="_BdW12" localSheetId="3">#REF!</definedName>
    <definedName name="_BdW12" localSheetId="1">#REF!</definedName>
    <definedName name="_BdW12" localSheetId="4">#REF!</definedName>
    <definedName name="_BdW12">#REF!</definedName>
    <definedName name="_BdW13" localSheetId="2">#REF!</definedName>
    <definedName name="_BdW13" localSheetId="0">#REF!</definedName>
    <definedName name="_BdW13" localSheetId="3">#REF!</definedName>
    <definedName name="_BdW13" localSheetId="1">#REF!</definedName>
    <definedName name="_BdW13" localSheetId="4">#REF!</definedName>
    <definedName name="_BdW13">#REF!</definedName>
    <definedName name="_BdW14" localSheetId="2">#REF!</definedName>
    <definedName name="_BdW14" localSheetId="0">#REF!</definedName>
    <definedName name="_BdW14" localSheetId="3">#REF!</definedName>
    <definedName name="_BdW14" localSheetId="1">#REF!</definedName>
    <definedName name="_BdW14" localSheetId="4">#REF!</definedName>
    <definedName name="_BdW14">#REF!</definedName>
    <definedName name="_BdW15" localSheetId="2">#REF!</definedName>
    <definedName name="_BdW15" localSheetId="0">#REF!</definedName>
    <definedName name="_BdW15" localSheetId="3">#REF!</definedName>
    <definedName name="_BdW15" localSheetId="1">#REF!</definedName>
    <definedName name="_BdW15" localSheetId="4">#REF!</definedName>
    <definedName name="_BdW15">#REF!</definedName>
    <definedName name="_BdW16" localSheetId="2">#REF!</definedName>
    <definedName name="_BdW16" localSheetId="0">#REF!</definedName>
    <definedName name="_BdW16" localSheetId="3">#REF!</definedName>
    <definedName name="_BdW16" localSheetId="1">#REF!</definedName>
    <definedName name="_BdW16" localSheetId="4">#REF!</definedName>
    <definedName name="_BdW16">#REF!</definedName>
    <definedName name="_BdW17" localSheetId="2">#REF!</definedName>
    <definedName name="_BdW17" localSheetId="0">#REF!</definedName>
    <definedName name="_BdW17" localSheetId="3">#REF!</definedName>
    <definedName name="_BdW17" localSheetId="1">#REF!</definedName>
    <definedName name="_BdW17" localSheetId="4">#REF!</definedName>
    <definedName name="_BdW17">#REF!</definedName>
    <definedName name="_BdW18" localSheetId="2">#REF!</definedName>
    <definedName name="_BdW18" localSheetId="0">#REF!</definedName>
    <definedName name="_BdW18" localSheetId="3">#REF!</definedName>
    <definedName name="_BdW18" localSheetId="1">#REF!</definedName>
    <definedName name="_BdW18" localSheetId="4">#REF!</definedName>
    <definedName name="_BdW18">#REF!</definedName>
    <definedName name="_BdW19" localSheetId="2">#REF!</definedName>
    <definedName name="_BdW19" localSheetId="0">#REF!</definedName>
    <definedName name="_BdW19" localSheetId="3">#REF!</definedName>
    <definedName name="_BdW19" localSheetId="1">#REF!</definedName>
    <definedName name="_BdW19" localSheetId="4">#REF!</definedName>
    <definedName name="_BdW19">#REF!</definedName>
    <definedName name="_BdW20" localSheetId="2">#REF!</definedName>
    <definedName name="_BdW20" localSheetId="0">#REF!</definedName>
    <definedName name="_BdW20" localSheetId="3">#REF!</definedName>
    <definedName name="_BdW20" localSheetId="1">#REF!</definedName>
    <definedName name="_BdW20" localSheetId="4">#REF!</definedName>
    <definedName name="_BdW20">#REF!</definedName>
    <definedName name="_BdW21" localSheetId="2">#REF!</definedName>
    <definedName name="_BdW21" localSheetId="0">#REF!</definedName>
    <definedName name="_BdW21" localSheetId="3">#REF!</definedName>
    <definedName name="_BdW21" localSheetId="1">#REF!</definedName>
    <definedName name="_BdW21" localSheetId="4">#REF!</definedName>
    <definedName name="_BdW21">#REF!</definedName>
    <definedName name="_BdW22" localSheetId="2">#REF!</definedName>
    <definedName name="_BdW22" localSheetId="0">#REF!</definedName>
    <definedName name="_BdW22" localSheetId="3">#REF!</definedName>
    <definedName name="_BdW22" localSheetId="1">#REF!</definedName>
    <definedName name="_BdW22" localSheetId="4">#REF!</definedName>
    <definedName name="_BdW22">#REF!</definedName>
    <definedName name="_BdW23" localSheetId="2">#REF!</definedName>
    <definedName name="_BdW23" localSheetId="0">#REF!</definedName>
    <definedName name="_BdW23" localSheetId="3">#REF!</definedName>
    <definedName name="_BdW23" localSheetId="1">#REF!</definedName>
    <definedName name="_BdW23" localSheetId="4">#REF!</definedName>
    <definedName name="_BdW23">#REF!</definedName>
    <definedName name="_BdW24" localSheetId="2">#REF!</definedName>
    <definedName name="_BdW24" localSheetId="0">#REF!</definedName>
    <definedName name="_BdW24" localSheetId="3">#REF!</definedName>
    <definedName name="_BdW24" localSheetId="1">#REF!</definedName>
    <definedName name="_BdW24" localSheetId="4">#REF!</definedName>
    <definedName name="_BdW24">#REF!</definedName>
    <definedName name="_BdW25" localSheetId="2">#REF!</definedName>
    <definedName name="_BdW25" localSheetId="0">#REF!</definedName>
    <definedName name="_BdW25" localSheetId="3">#REF!</definedName>
    <definedName name="_BdW25" localSheetId="1">#REF!</definedName>
    <definedName name="_BdW25" localSheetId="4">#REF!</definedName>
    <definedName name="_BdW25">#REF!</definedName>
    <definedName name="_BdW26" localSheetId="2">#REF!</definedName>
    <definedName name="_BdW26" localSheetId="0">#REF!</definedName>
    <definedName name="_BdW26" localSheetId="3">#REF!</definedName>
    <definedName name="_BdW26" localSheetId="1">#REF!</definedName>
    <definedName name="_BdW26" localSheetId="4">#REF!</definedName>
    <definedName name="_BdW26">#REF!</definedName>
    <definedName name="_BdW27" localSheetId="2">#REF!</definedName>
    <definedName name="_BdW27" localSheetId="0">#REF!</definedName>
    <definedName name="_BdW27" localSheetId="3">#REF!</definedName>
    <definedName name="_BdW27" localSheetId="1">#REF!</definedName>
    <definedName name="_BdW27" localSheetId="4">#REF!</definedName>
    <definedName name="_BdW27">#REF!</definedName>
    <definedName name="_BdW28" localSheetId="2">#REF!</definedName>
    <definedName name="_BdW28" localSheetId="0">#REF!</definedName>
    <definedName name="_BdW28" localSheetId="3">#REF!</definedName>
    <definedName name="_BdW28" localSheetId="1">#REF!</definedName>
    <definedName name="_BdW28" localSheetId="4">#REF!</definedName>
    <definedName name="_BdW28">#REF!</definedName>
    <definedName name="_BdW29" localSheetId="2">#REF!</definedName>
    <definedName name="_BdW29" localSheetId="0">#REF!</definedName>
    <definedName name="_BdW29" localSheetId="3">#REF!</definedName>
    <definedName name="_BdW29" localSheetId="1">#REF!</definedName>
    <definedName name="_BdW29" localSheetId="4">#REF!</definedName>
    <definedName name="_BdW29">#REF!</definedName>
    <definedName name="_BdW30" localSheetId="2">#REF!</definedName>
    <definedName name="_BdW30" localSheetId="0">#REF!</definedName>
    <definedName name="_BdW30" localSheetId="3">#REF!</definedName>
    <definedName name="_BdW30" localSheetId="1">#REF!</definedName>
    <definedName name="_BdW30" localSheetId="4">#REF!</definedName>
    <definedName name="_BdW30">#REF!</definedName>
    <definedName name="_BdW31" localSheetId="2">#REF!</definedName>
    <definedName name="_BdW31" localSheetId="0">#REF!</definedName>
    <definedName name="_BdW31" localSheetId="3">#REF!</definedName>
    <definedName name="_BdW31" localSheetId="1">#REF!</definedName>
    <definedName name="_BdW31" localSheetId="4">#REF!</definedName>
    <definedName name="_BdW31">#REF!</definedName>
    <definedName name="_BdW32" localSheetId="2">#REF!</definedName>
    <definedName name="_BdW32" localSheetId="0">#REF!</definedName>
    <definedName name="_BdW32" localSheetId="3">#REF!</definedName>
    <definedName name="_BdW32" localSheetId="1">#REF!</definedName>
    <definedName name="_BdW32" localSheetId="4">#REF!</definedName>
    <definedName name="_BdW32">#REF!</definedName>
    <definedName name="_BdW33" localSheetId="2">#REF!</definedName>
    <definedName name="_BdW33" localSheetId="0">#REF!</definedName>
    <definedName name="_BdW33" localSheetId="3">#REF!</definedName>
    <definedName name="_BdW33" localSheetId="1">#REF!</definedName>
    <definedName name="_BdW33" localSheetId="4">#REF!</definedName>
    <definedName name="_BdW33">#REF!</definedName>
    <definedName name="_BdW34" localSheetId="2">#REF!</definedName>
    <definedName name="_BdW34" localSheetId="0">#REF!</definedName>
    <definedName name="_BdW34" localSheetId="3">#REF!</definedName>
    <definedName name="_BdW34" localSheetId="1">#REF!</definedName>
    <definedName name="_BdW34" localSheetId="4">#REF!</definedName>
    <definedName name="_BdW34">#REF!</definedName>
    <definedName name="_BdW35" localSheetId="2">#REF!</definedName>
    <definedName name="_BdW35" localSheetId="0">#REF!</definedName>
    <definedName name="_BdW35" localSheetId="3">#REF!</definedName>
    <definedName name="_BdW35" localSheetId="1">#REF!</definedName>
    <definedName name="_BdW35" localSheetId="4">#REF!</definedName>
    <definedName name="_BdW35">#REF!</definedName>
    <definedName name="_BdW36" localSheetId="2">#REF!</definedName>
    <definedName name="_BdW36" localSheetId="0">#REF!</definedName>
    <definedName name="_BdW36" localSheetId="3">#REF!</definedName>
    <definedName name="_BdW36" localSheetId="1">#REF!</definedName>
    <definedName name="_BdW36" localSheetId="4">#REF!</definedName>
    <definedName name="_BdW36">#REF!</definedName>
    <definedName name="_BdW37" localSheetId="2">#REF!</definedName>
    <definedName name="_BdW37" localSheetId="0">#REF!</definedName>
    <definedName name="_BdW37" localSheetId="3">#REF!</definedName>
    <definedName name="_BdW37" localSheetId="1">#REF!</definedName>
    <definedName name="_BdW37" localSheetId="4">#REF!</definedName>
    <definedName name="_BdW37">#REF!</definedName>
    <definedName name="_BdW38" localSheetId="2">#REF!</definedName>
    <definedName name="_BdW38" localSheetId="0">#REF!</definedName>
    <definedName name="_BdW38" localSheetId="3">#REF!</definedName>
    <definedName name="_BdW38" localSheetId="1">#REF!</definedName>
    <definedName name="_BdW38" localSheetId="4">#REF!</definedName>
    <definedName name="_BdW38">#REF!</definedName>
    <definedName name="_BdW39" localSheetId="2">#REF!</definedName>
    <definedName name="_BdW39" localSheetId="0">#REF!</definedName>
    <definedName name="_BdW39" localSheetId="3">#REF!</definedName>
    <definedName name="_BdW39" localSheetId="1">#REF!</definedName>
    <definedName name="_BdW39" localSheetId="4">#REF!</definedName>
    <definedName name="_BdW39">#REF!</definedName>
    <definedName name="_BdW40" localSheetId="2">#REF!</definedName>
    <definedName name="_BdW40" localSheetId="0">#REF!</definedName>
    <definedName name="_BdW40" localSheetId="3">#REF!</definedName>
    <definedName name="_BdW40" localSheetId="1">#REF!</definedName>
    <definedName name="_BdW40" localSheetId="4">#REF!</definedName>
    <definedName name="_BdW40">#REF!</definedName>
    <definedName name="_BdW41" localSheetId="2">#REF!</definedName>
    <definedName name="_BdW41" localSheetId="0">#REF!</definedName>
    <definedName name="_BdW41" localSheetId="3">#REF!</definedName>
    <definedName name="_BdW41" localSheetId="1">#REF!</definedName>
    <definedName name="_BdW41" localSheetId="4">#REF!</definedName>
    <definedName name="_BdW41">#REF!</definedName>
    <definedName name="_BdW42" localSheetId="2">#REF!</definedName>
    <definedName name="_BdW42" localSheetId="0">#REF!</definedName>
    <definedName name="_BdW42" localSheetId="3">#REF!</definedName>
    <definedName name="_BdW42" localSheetId="1">#REF!</definedName>
    <definedName name="_BdW42" localSheetId="4">#REF!</definedName>
    <definedName name="_BdW42">#REF!</definedName>
    <definedName name="_BdW43" localSheetId="2">#REF!</definedName>
    <definedName name="_BdW43" localSheetId="0">#REF!</definedName>
    <definedName name="_BdW43" localSheetId="3">#REF!</definedName>
    <definedName name="_BdW43" localSheetId="1">#REF!</definedName>
    <definedName name="_BdW43" localSheetId="4">#REF!</definedName>
    <definedName name="_BdW43">#REF!</definedName>
    <definedName name="_BdW44" localSheetId="2">#REF!</definedName>
    <definedName name="_BdW44" localSheetId="0">#REF!</definedName>
    <definedName name="_BdW44" localSheetId="3">#REF!</definedName>
    <definedName name="_BdW44" localSheetId="1">#REF!</definedName>
    <definedName name="_BdW44" localSheetId="4">#REF!</definedName>
    <definedName name="_BdW44">#REF!</definedName>
    <definedName name="_BdW45" localSheetId="2">#REF!</definedName>
    <definedName name="_BdW45" localSheetId="0">#REF!</definedName>
    <definedName name="_BdW45" localSheetId="3">#REF!</definedName>
    <definedName name="_BdW45" localSheetId="1">#REF!</definedName>
    <definedName name="_BdW45" localSheetId="4">#REF!</definedName>
    <definedName name="_BdW45">#REF!</definedName>
    <definedName name="_BdW46" localSheetId="2">#REF!</definedName>
    <definedName name="_BdW46" localSheetId="0">#REF!</definedName>
    <definedName name="_BdW46" localSheetId="3">#REF!</definedName>
    <definedName name="_BdW46" localSheetId="1">#REF!</definedName>
    <definedName name="_BdW46" localSheetId="4">#REF!</definedName>
    <definedName name="_BdW46">#REF!</definedName>
    <definedName name="_BdW47" localSheetId="2">#REF!</definedName>
    <definedName name="_BdW47" localSheetId="0">#REF!</definedName>
    <definedName name="_BdW47" localSheetId="3">#REF!</definedName>
    <definedName name="_BdW47" localSheetId="1">#REF!</definedName>
    <definedName name="_BdW47" localSheetId="4">#REF!</definedName>
    <definedName name="_BdW47">#REF!</definedName>
    <definedName name="_BdW48" localSheetId="2">#REF!</definedName>
    <definedName name="_BdW48" localSheetId="0">#REF!</definedName>
    <definedName name="_BdW48" localSheetId="3">#REF!</definedName>
    <definedName name="_BdW48" localSheetId="1">#REF!</definedName>
    <definedName name="_BdW48" localSheetId="4">#REF!</definedName>
    <definedName name="_BdW48">#REF!</definedName>
    <definedName name="_BdW49" localSheetId="2">#REF!</definedName>
    <definedName name="_BdW49" localSheetId="0">#REF!</definedName>
    <definedName name="_BdW49" localSheetId="3">#REF!</definedName>
    <definedName name="_BdW49" localSheetId="1">#REF!</definedName>
    <definedName name="_BdW49" localSheetId="4">#REF!</definedName>
    <definedName name="_BdW49">#REF!</definedName>
    <definedName name="_BdW50" localSheetId="2">#REF!</definedName>
    <definedName name="_BdW50" localSheetId="0">#REF!</definedName>
    <definedName name="_BdW50" localSheetId="3">#REF!</definedName>
    <definedName name="_BdW50" localSheetId="1">#REF!</definedName>
    <definedName name="_BdW50" localSheetId="4">#REF!</definedName>
    <definedName name="_BdW50">#REF!</definedName>
    <definedName name="_BdW51" localSheetId="2">#REF!</definedName>
    <definedName name="_BdW51" localSheetId="0">#REF!</definedName>
    <definedName name="_BdW51" localSheetId="3">#REF!</definedName>
    <definedName name="_BdW51" localSheetId="1">#REF!</definedName>
    <definedName name="_BdW51" localSheetId="4">#REF!</definedName>
    <definedName name="_BdW51">#REF!</definedName>
    <definedName name="_BdW52" localSheetId="2">#REF!</definedName>
    <definedName name="_BdW52" localSheetId="0">#REF!</definedName>
    <definedName name="_BdW52" localSheetId="3">#REF!</definedName>
    <definedName name="_BdW52" localSheetId="1">#REF!</definedName>
    <definedName name="_BdW52" localSheetId="4">#REF!</definedName>
    <definedName name="_BdW52">#REF!</definedName>
    <definedName name="_BdW53" localSheetId="2">#REF!</definedName>
    <definedName name="_BdW53" localSheetId="0">#REF!</definedName>
    <definedName name="_BdW53" localSheetId="3">#REF!</definedName>
    <definedName name="_BdW53" localSheetId="1">#REF!</definedName>
    <definedName name="_BdW53" localSheetId="4">#REF!</definedName>
    <definedName name="_BdW53">#REF!</definedName>
    <definedName name="_BdW54" localSheetId="2">#REF!</definedName>
    <definedName name="_BdW54" localSheetId="0">#REF!</definedName>
    <definedName name="_BdW54" localSheetId="3">#REF!</definedName>
    <definedName name="_BdW54" localSheetId="1">#REF!</definedName>
    <definedName name="_BdW54" localSheetId="4">#REF!</definedName>
    <definedName name="_BdW54">#REF!</definedName>
    <definedName name="_BdW55" localSheetId="2">#REF!</definedName>
    <definedName name="_BdW55" localSheetId="0">#REF!</definedName>
    <definedName name="_BdW55" localSheetId="3">#REF!</definedName>
    <definedName name="_BdW55" localSheetId="1">#REF!</definedName>
    <definedName name="_BdW55" localSheetId="4">#REF!</definedName>
    <definedName name="_BdW55">#REF!</definedName>
    <definedName name="_BdW56" localSheetId="2">#REF!</definedName>
    <definedName name="_BdW56" localSheetId="0">#REF!</definedName>
    <definedName name="_BdW56" localSheetId="3">#REF!</definedName>
    <definedName name="_BdW56" localSheetId="1">#REF!</definedName>
    <definedName name="_BdW56" localSheetId="4">#REF!</definedName>
    <definedName name="_BdW56">#REF!</definedName>
    <definedName name="_BdW57" localSheetId="2">#REF!</definedName>
    <definedName name="_BdW57" localSheetId="0">#REF!</definedName>
    <definedName name="_BdW57" localSheetId="3">#REF!</definedName>
    <definedName name="_BdW57" localSheetId="1">#REF!</definedName>
    <definedName name="_BdW57" localSheetId="4">#REF!</definedName>
    <definedName name="_BdW57">#REF!</definedName>
    <definedName name="_BdW58" localSheetId="2">#REF!</definedName>
    <definedName name="_BdW58" localSheetId="0">#REF!</definedName>
    <definedName name="_BdW58" localSheetId="3">#REF!</definedName>
    <definedName name="_BdW58" localSheetId="1">#REF!</definedName>
    <definedName name="_BdW58" localSheetId="4">#REF!</definedName>
    <definedName name="_BdW58">#REF!</definedName>
    <definedName name="_BdW59" localSheetId="2">#REF!</definedName>
    <definedName name="_BdW59" localSheetId="0">#REF!</definedName>
    <definedName name="_BdW59" localSheetId="3">#REF!</definedName>
    <definedName name="_BdW59" localSheetId="1">#REF!</definedName>
    <definedName name="_BdW59" localSheetId="4">#REF!</definedName>
    <definedName name="_BdW59">#REF!</definedName>
    <definedName name="_BdW60" localSheetId="2">#REF!</definedName>
    <definedName name="_BdW60" localSheetId="0">#REF!</definedName>
    <definedName name="_BdW60" localSheetId="3">#REF!</definedName>
    <definedName name="_BdW60" localSheetId="1">#REF!</definedName>
    <definedName name="_BdW60" localSheetId="4">#REF!</definedName>
    <definedName name="_BdW60">#REF!</definedName>
    <definedName name="_BdW61" localSheetId="2">#REF!</definedName>
    <definedName name="_BdW61" localSheetId="0">#REF!</definedName>
    <definedName name="_BdW61" localSheetId="3">#REF!</definedName>
    <definedName name="_BdW61" localSheetId="1">#REF!</definedName>
    <definedName name="_BdW61" localSheetId="4">#REF!</definedName>
    <definedName name="_BdW61">#REF!</definedName>
    <definedName name="_BdW62" localSheetId="2">#REF!</definedName>
    <definedName name="_BdW62" localSheetId="0">#REF!</definedName>
    <definedName name="_BdW62" localSheetId="3">#REF!</definedName>
    <definedName name="_BdW62" localSheetId="1">#REF!</definedName>
    <definedName name="_BdW62" localSheetId="4">#REF!</definedName>
    <definedName name="_BdW62">#REF!</definedName>
    <definedName name="_BdW63" localSheetId="2">#REF!</definedName>
    <definedName name="_BdW63" localSheetId="0">#REF!</definedName>
    <definedName name="_BdW63" localSheetId="3">#REF!</definedName>
    <definedName name="_BdW63" localSheetId="1">#REF!</definedName>
    <definedName name="_BdW63" localSheetId="4">#REF!</definedName>
    <definedName name="_BdW63">#REF!</definedName>
    <definedName name="_BdW64" localSheetId="2">#REF!</definedName>
    <definedName name="_BdW64" localSheetId="0">#REF!</definedName>
    <definedName name="_BdW64" localSheetId="3">#REF!</definedName>
    <definedName name="_BdW64" localSheetId="1">#REF!</definedName>
    <definedName name="_BdW64" localSheetId="4">#REF!</definedName>
    <definedName name="_BdW64">#REF!</definedName>
    <definedName name="_BdW65" localSheetId="2">#REF!</definedName>
    <definedName name="_BdW65" localSheetId="0">#REF!</definedName>
    <definedName name="_BdW65" localSheetId="3">#REF!</definedName>
    <definedName name="_BdW65" localSheetId="1">#REF!</definedName>
    <definedName name="_BdW65" localSheetId="4">#REF!</definedName>
    <definedName name="_BdW65">#REF!</definedName>
    <definedName name="_BdW66" localSheetId="2">#REF!</definedName>
    <definedName name="_BdW66" localSheetId="0">#REF!</definedName>
    <definedName name="_BdW66" localSheetId="3">#REF!</definedName>
    <definedName name="_BdW66" localSheetId="1">#REF!</definedName>
    <definedName name="_BdW66" localSheetId="4">#REF!</definedName>
    <definedName name="_BdW66">#REF!</definedName>
    <definedName name="_BdW68" localSheetId="2">#REF!</definedName>
    <definedName name="_BdW68" localSheetId="0">#REF!</definedName>
    <definedName name="_BdW68" localSheetId="3">#REF!</definedName>
    <definedName name="_BdW68" localSheetId="1">#REF!</definedName>
    <definedName name="_BdW68" localSheetId="4">#REF!</definedName>
    <definedName name="_BdW68">#REF!</definedName>
    <definedName name="_BdW69" localSheetId="2">#REF!</definedName>
    <definedName name="_BdW69" localSheetId="0">#REF!</definedName>
    <definedName name="_BdW69" localSheetId="3">#REF!</definedName>
    <definedName name="_BdW69" localSheetId="1">#REF!</definedName>
    <definedName name="_BdW69" localSheetId="4">#REF!</definedName>
    <definedName name="_BdW69">#REF!</definedName>
    <definedName name="_BdW70" localSheetId="2">#REF!</definedName>
    <definedName name="_BdW70" localSheetId="0">#REF!</definedName>
    <definedName name="_BdW70" localSheetId="3">#REF!</definedName>
    <definedName name="_BdW70" localSheetId="1">#REF!</definedName>
    <definedName name="_BdW70" localSheetId="4">#REF!</definedName>
    <definedName name="_BdW70">#REF!</definedName>
    <definedName name="_BdW71" localSheetId="2">#REF!</definedName>
    <definedName name="_BdW71" localSheetId="0">#REF!</definedName>
    <definedName name="_BdW71" localSheetId="3">#REF!</definedName>
    <definedName name="_BdW71" localSheetId="1">#REF!</definedName>
    <definedName name="_BdW71" localSheetId="4">#REF!</definedName>
    <definedName name="_BdW71">#REF!</definedName>
    <definedName name="_BdW72" localSheetId="2">#REF!</definedName>
    <definedName name="_BdW72" localSheetId="0">#REF!</definedName>
    <definedName name="_BdW72" localSheetId="3">#REF!</definedName>
    <definedName name="_BdW72" localSheetId="1">#REF!</definedName>
    <definedName name="_BdW72" localSheetId="4">#REF!</definedName>
    <definedName name="_BdW72">#REF!</definedName>
    <definedName name="_BdW73" localSheetId="2">#REF!</definedName>
    <definedName name="_BdW73" localSheetId="0">#REF!</definedName>
    <definedName name="_BdW73" localSheetId="3">#REF!</definedName>
    <definedName name="_BdW73" localSheetId="1">#REF!</definedName>
    <definedName name="_BdW73" localSheetId="4">#REF!</definedName>
    <definedName name="_BdW73">#REF!</definedName>
    <definedName name="_BdW74" localSheetId="2">#REF!</definedName>
    <definedName name="_BdW74" localSheetId="0">#REF!</definedName>
    <definedName name="_BdW74" localSheetId="3">#REF!</definedName>
    <definedName name="_BdW74" localSheetId="1">#REF!</definedName>
    <definedName name="_BdW74" localSheetId="4">#REF!</definedName>
    <definedName name="_BdW74">#REF!</definedName>
    <definedName name="_BdW75" localSheetId="2">#REF!</definedName>
    <definedName name="_BdW75" localSheetId="0">#REF!</definedName>
    <definedName name="_BdW75" localSheetId="3">#REF!</definedName>
    <definedName name="_BdW75" localSheetId="1">#REF!</definedName>
    <definedName name="_BdW75" localSheetId="4">#REF!</definedName>
    <definedName name="_BdW75">#REF!</definedName>
    <definedName name="_BdW76" localSheetId="2">#REF!</definedName>
    <definedName name="_BdW76" localSheetId="0">#REF!</definedName>
    <definedName name="_BdW76" localSheetId="3">#REF!</definedName>
    <definedName name="_BdW76" localSheetId="1">#REF!</definedName>
    <definedName name="_BdW76" localSheetId="4">#REF!</definedName>
    <definedName name="_BdW76">#REF!</definedName>
    <definedName name="_BdW77" localSheetId="2">#REF!</definedName>
    <definedName name="_BdW77" localSheetId="0">#REF!</definedName>
    <definedName name="_BdW77" localSheetId="3">#REF!</definedName>
    <definedName name="_BdW77" localSheetId="1">#REF!</definedName>
    <definedName name="_BdW77" localSheetId="4">#REF!</definedName>
    <definedName name="_BdW77">#REF!</definedName>
    <definedName name="_BdW78" localSheetId="2">#REF!</definedName>
    <definedName name="_BdW78" localSheetId="0">#REF!</definedName>
    <definedName name="_BdW78" localSheetId="3">#REF!</definedName>
    <definedName name="_BdW78" localSheetId="1">#REF!</definedName>
    <definedName name="_BdW78" localSheetId="4">#REF!</definedName>
    <definedName name="_BdW78">#REF!</definedName>
    <definedName name="_BdW79" localSheetId="2">#REF!</definedName>
    <definedName name="_BdW79" localSheetId="0">#REF!</definedName>
    <definedName name="_BdW79" localSheetId="3">#REF!</definedName>
    <definedName name="_BdW79" localSheetId="1">#REF!</definedName>
    <definedName name="_BdW79" localSheetId="4">#REF!</definedName>
    <definedName name="_BdW79">#REF!</definedName>
    <definedName name="_BDW80" localSheetId="2">#REF!</definedName>
    <definedName name="_BDW80" localSheetId="0">#REF!</definedName>
    <definedName name="_BDW80" localSheetId="3">#REF!</definedName>
    <definedName name="_BDW80" localSheetId="1">#REF!</definedName>
    <definedName name="_BDW80" localSheetId="4">#REF!</definedName>
    <definedName name="_BDW80">#REF!</definedName>
    <definedName name="_BDW81" localSheetId="2">#REF!</definedName>
    <definedName name="_BDW81" localSheetId="0">#REF!</definedName>
    <definedName name="_BDW81" localSheetId="3">#REF!</definedName>
    <definedName name="_BDW81" localSheetId="1">#REF!</definedName>
    <definedName name="_BDW81" localSheetId="4">#REF!</definedName>
    <definedName name="_BDW81">#REF!</definedName>
    <definedName name="_BDW82" localSheetId="2">#REF!</definedName>
    <definedName name="_BDW82" localSheetId="0">#REF!</definedName>
    <definedName name="_BDW82" localSheetId="3">#REF!</definedName>
    <definedName name="_BDW82" localSheetId="1">#REF!</definedName>
    <definedName name="_BDW82" localSheetId="4">#REF!</definedName>
    <definedName name="_BDW82">#REF!</definedName>
    <definedName name="_BDW83" localSheetId="2">#REF!</definedName>
    <definedName name="_BDW83" localSheetId="0">#REF!</definedName>
    <definedName name="_BDW83" localSheetId="3">#REF!</definedName>
    <definedName name="_BDW83" localSheetId="1">#REF!</definedName>
    <definedName name="_BDW83" localSheetId="4">#REF!</definedName>
    <definedName name="_BDW83">#REF!</definedName>
    <definedName name="_CAL1">[5]CAL1!$R$3:$S$29</definedName>
    <definedName name="_Fill" localSheetId="2" hidden="1">#REF!</definedName>
    <definedName name="_Fill" localSheetId="0" hidden="1">#REF!</definedName>
    <definedName name="_Fill" localSheetId="3" hidden="1">#REF!</definedName>
    <definedName name="_Fill" localSheetId="1" hidden="1">#REF!</definedName>
    <definedName name="_Fill" localSheetId="4" hidden="1">#REF!</definedName>
    <definedName name="_Fill" hidden="1">#REF!</definedName>
    <definedName name="_Fill1" localSheetId="2" hidden="1">#REF!</definedName>
    <definedName name="_Fill1" localSheetId="0" hidden="1">#REF!</definedName>
    <definedName name="_Fill1" localSheetId="3" hidden="1">#REF!</definedName>
    <definedName name="_Fill1" localSheetId="1" hidden="1">#REF!</definedName>
    <definedName name="_Fill1" localSheetId="4" hidden="1">#REF!</definedName>
    <definedName name="_Fill1" hidden="1">#REF!</definedName>
    <definedName name="_fill2" localSheetId="2" hidden="1">#REF!</definedName>
    <definedName name="_fill2" localSheetId="0" hidden="1">#REF!</definedName>
    <definedName name="_fill2" localSheetId="3" hidden="1">#REF!</definedName>
    <definedName name="_fill2" localSheetId="1" hidden="1">#REF!</definedName>
    <definedName name="_fill2" localSheetId="4" hidden="1">#REF!</definedName>
    <definedName name="_fill2" hidden="1">#REF!</definedName>
    <definedName name="_xlnm._FilterDatabase" localSheetId="5" hidden="1">'1'!$A$5:$L$353</definedName>
    <definedName name="_xlnm._FilterDatabase" localSheetId="2" hidden="1">'PODIUM&amp;HJ&amp;CLUB'!$A$5:$M$29</definedName>
    <definedName name="_xlnm._FilterDatabase" localSheetId="0" hidden="1">'TOWER-A'!$A$5:$M$61</definedName>
    <definedName name="_xlnm._FilterDatabase" localSheetId="3" hidden="1">'TOWER-A,B BELOW 1ST FLOOR'!$A$5:$M$6</definedName>
    <definedName name="_xlnm._FilterDatabase" localSheetId="1" hidden="1">'TOWER-B'!$A$5:$M$52</definedName>
    <definedName name="_xlnm._FilterDatabase" localSheetId="4" hidden="1">'TOWER-C,D BELOW 1ST FLOOR '!$A$5:$M$6</definedName>
    <definedName name="_M1234">[2]EDWise!$P$2:$Q$183</definedName>
    <definedName name="_new" localSheetId="2" hidden="1">#REF!</definedName>
    <definedName name="_new" localSheetId="0" hidden="1">#REF!</definedName>
    <definedName name="_new" localSheetId="3" hidden="1">#REF!</definedName>
    <definedName name="_new" localSheetId="1" hidden="1">#REF!</definedName>
    <definedName name="_new" localSheetId="4" hidden="1">#REF!</definedName>
    <definedName name="_new" hidden="1">#REF!</definedName>
    <definedName name="_new1" localSheetId="2" hidden="1">#REF!</definedName>
    <definedName name="_new1" localSheetId="0" hidden="1">#REF!</definedName>
    <definedName name="_new1" localSheetId="3" hidden="1">#REF!</definedName>
    <definedName name="_new1" localSheetId="1" hidden="1">#REF!</definedName>
    <definedName name="_new1" localSheetId="4" hidden="1">#REF!</definedName>
    <definedName name="_new1" hidden="1">#REF!</definedName>
    <definedName name="A" localSheetId="2">#REF!</definedName>
    <definedName name="A" localSheetId="0">#REF!</definedName>
    <definedName name="A" localSheetId="3">#REF!</definedName>
    <definedName name="A" localSheetId="1">#REF!</definedName>
    <definedName name="A" localSheetId="4">#REF!</definedName>
    <definedName name="A">#REF!</definedName>
    <definedName name="aa" localSheetId="2">#REF!</definedName>
    <definedName name="aa" localSheetId="0">#REF!</definedName>
    <definedName name="aa" localSheetId="3">#REF!</definedName>
    <definedName name="aa" localSheetId="1">#REF!</definedName>
    <definedName name="aa" localSheetId="4">#REF!</definedName>
    <definedName name="aa">#REF!</definedName>
    <definedName name="ab">{"Book1","Mtrl Bills.xls"}</definedName>
    <definedName name="abc" localSheetId="2">#REF!</definedName>
    <definedName name="abc" localSheetId="0">#REF!</definedName>
    <definedName name="abc" localSheetId="3">#REF!</definedName>
    <definedName name="abc" localSheetId="1">#REF!</definedName>
    <definedName name="abc" localSheetId="4">#REF!</definedName>
    <definedName name="abc">#REF!</definedName>
    <definedName name="abcd" localSheetId="2">#REF!</definedName>
    <definedName name="abcd" localSheetId="0">#REF!</definedName>
    <definedName name="abcd" localSheetId="3">#REF!</definedName>
    <definedName name="abcd" localSheetId="1">#REF!</definedName>
    <definedName name="abcd" localSheetId="4">#REF!</definedName>
    <definedName name="abcd">#REF!</definedName>
    <definedName name="abcde" localSheetId="2">#REF!</definedName>
    <definedName name="abcde" localSheetId="0">#REF!</definedName>
    <definedName name="abcde" localSheetId="3">#REF!</definedName>
    <definedName name="abcde" localSheetId="1">#REF!</definedName>
    <definedName name="abcde" localSheetId="4">#REF!</definedName>
    <definedName name="abcde">#REF!</definedName>
    <definedName name="ABCDEF" localSheetId="2">#REF!</definedName>
    <definedName name="ABCDEF" localSheetId="0">#REF!</definedName>
    <definedName name="ABCDEF" localSheetId="3">#REF!</definedName>
    <definedName name="ABCDEF" localSheetId="1">#REF!</definedName>
    <definedName name="ABCDEF" localSheetId="4">#REF!</definedName>
    <definedName name="ABCDEF">#REF!</definedName>
    <definedName name="abcdefghij\" localSheetId="2">#REF!</definedName>
    <definedName name="abcdefghij\" localSheetId="0">#REF!</definedName>
    <definedName name="abcdefghij\" localSheetId="3">#REF!</definedName>
    <definedName name="abcdefghij\" localSheetId="1">#REF!</definedName>
    <definedName name="abcdefghij\" localSheetId="4">#REF!</definedName>
    <definedName name="abcdefghij\">#REF!</definedName>
    <definedName name="ABSTRACT" localSheetId="2">#REF!</definedName>
    <definedName name="ABSTRACT" localSheetId="0">#REF!</definedName>
    <definedName name="ABSTRACT" localSheetId="3">#REF!</definedName>
    <definedName name="ABSTRACT" localSheetId="1">#REF!</definedName>
    <definedName name="ABSTRACT" localSheetId="4">#REF!</definedName>
    <definedName name="ABSTRACT">#REF!</definedName>
    <definedName name="ABSTRACT_ROAD_W" localSheetId="2">#REF!</definedName>
    <definedName name="ABSTRACT_ROAD_W" localSheetId="0">#REF!</definedName>
    <definedName name="ABSTRACT_ROAD_W" localSheetId="3">#REF!</definedName>
    <definedName name="ABSTRACT_ROAD_W" localSheetId="1">#REF!</definedName>
    <definedName name="ABSTRACT_ROAD_W" localSheetId="4">#REF!</definedName>
    <definedName name="ABSTRACT_ROAD_W">#REF!</definedName>
    <definedName name="annex" localSheetId="2" hidden="1">#REF!</definedName>
    <definedName name="annex" localSheetId="0" hidden="1">#REF!</definedName>
    <definedName name="annex" localSheetId="3" hidden="1">#REF!</definedName>
    <definedName name="annex" localSheetId="1" hidden="1">#REF!</definedName>
    <definedName name="annex" localSheetId="4" hidden="1">#REF!</definedName>
    <definedName name="annex" hidden="1">#REF!</definedName>
    <definedName name="annex1" localSheetId="2" hidden="1">#REF!</definedName>
    <definedName name="annex1" localSheetId="0" hidden="1">#REF!</definedName>
    <definedName name="annex1" localSheetId="3" hidden="1">#REF!</definedName>
    <definedName name="annex1" localSheetId="1" hidden="1">#REF!</definedName>
    <definedName name="annex1" localSheetId="4" hidden="1">#REF!</definedName>
    <definedName name="annex1" hidden="1">#REF!</definedName>
    <definedName name="asdfg">[6]EDWise!$P$2:$Q$183</definedName>
    <definedName name="B" localSheetId="2">#REF!</definedName>
    <definedName name="B" localSheetId="0">#REF!</definedName>
    <definedName name="B" localSheetId="3">#REF!</definedName>
    <definedName name="B" localSheetId="1">#REF!</definedName>
    <definedName name="B" localSheetId="4">#REF!</definedName>
    <definedName name="B">#REF!</definedName>
    <definedName name="BdW67i" localSheetId="2">#REF!</definedName>
    <definedName name="BdW67i" localSheetId="0">#REF!</definedName>
    <definedName name="BdW67i" localSheetId="3">#REF!</definedName>
    <definedName name="BdW67i" localSheetId="1">#REF!</definedName>
    <definedName name="BdW67i" localSheetId="4">#REF!</definedName>
    <definedName name="BdW67i">#REF!</definedName>
    <definedName name="BdW67ii" localSheetId="2">#REF!</definedName>
    <definedName name="BdW67ii" localSheetId="0">#REF!</definedName>
    <definedName name="BdW67ii" localSheetId="3">#REF!</definedName>
    <definedName name="BdW67ii" localSheetId="1">#REF!</definedName>
    <definedName name="BdW67ii" localSheetId="4">#REF!</definedName>
    <definedName name="BdW67ii">#REF!</definedName>
    <definedName name="BdW67iii" localSheetId="2">#REF!</definedName>
    <definedName name="BdW67iii" localSheetId="0">#REF!</definedName>
    <definedName name="BdW67iii" localSheetId="3">#REF!</definedName>
    <definedName name="BdW67iii" localSheetId="1">#REF!</definedName>
    <definedName name="BdW67iii" localSheetId="4">#REF!</definedName>
    <definedName name="BdW67iii">#REF!</definedName>
    <definedName name="Beg_Bal" localSheetId="2">#REF!</definedName>
    <definedName name="Beg_Bal" localSheetId="0">#REF!</definedName>
    <definedName name="Beg_Bal" localSheetId="3">#REF!</definedName>
    <definedName name="Beg_Bal" localSheetId="1">#REF!</definedName>
    <definedName name="Beg_Bal" localSheetId="4">#REF!</definedName>
    <definedName name="Beg_Bal">#REF!</definedName>
    <definedName name="Bust">#N/A</definedName>
    <definedName name="CGSTRate" localSheetId="2">IF(#REF!=28%,14%,IF(#REF!=18%,9%,IF(#REF!=12%,6%,IF(#REF!=5%,2.5%,IF(#REF!=3%,1.5%,IF(#REF!=0.25%,0.125%,IF(#REF!=0%,0%,"")))))))</definedName>
    <definedName name="CGSTRate" localSheetId="0">IF(#REF!=28%,14%,IF(#REF!=18%,9%,IF(#REF!=12%,6%,IF(#REF!=5%,2.5%,IF(#REF!=3%,1.5%,IF(#REF!=0.25%,0.125%,IF(#REF!=0%,0%,"")))))))</definedName>
    <definedName name="CGSTRate" localSheetId="3">IF(#REF!=28%,14%,IF(#REF!=18%,9%,IF(#REF!=12%,6%,IF(#REF!=5%,2.5%,IF(#REF!=3%,1.5%,IF(#REF!=0.25%,0.125%,IF(#REF!=0%,0%,"")))))))</definedName>
    <definedName name="CGSTRate" localSheetId="1">IF(#REF!=28%,14%,IF(#REF!=18%,9%,IF(#REF!=12%,6%,IF(#REF!=5%,2.5%,IF(#REF!=3%,1.5%,IF(#REF!=0.25%,0.125%,IF(#REF!=0%,0%,"")))))))</definedName>
    <definedName name="CGSTRate" localSheetId="4">IF(#REF!=28%,14%,IF(#REF!=18%,9%,IF(#REF!=12%,6%,IF(#REF!=5%,2.5%,IF(#REF!=3%,1.5%,IF(#REF!=0.25%,0.125%,IF(#REF!=0%,0%,"")))))))</definedName>
    <definedName name="CGSTRate">IF(#REF!=28%,14%,IF(#REF!=18%,9%,IF(#REF!=12%,6%,IF(#REF!=5%,2.5%,IF(#REF!=3%,1.5%,IF(#REF!=0.25%,0.125%,IF(#REF!=0%,0%,"")))))))</definedName>
    <definedName name="CIVIL" localSheetId="2">#REF!</definedName>
    <definedName name="CIVIL" localSheetId="0">#REF!</definedName>
    <definedName name="CIVIL" localSheetId="3">#REF!</definedName>
    <definedName name="CIVIL" localSheetId="1">#REF!</definedName>
    <definedName name="CIVIL" localSheetId="4">#REF!</definedName>
    <definedName name="CIVIL">#REF!</definedName>
    <definedName name="comp" localSheetId="2">#REF!</definedName>
    <definedName name="comp" localSheetId="0">#REF!</definedName>
    <definedName name="comp" localSheetId="3">#REF!</definedName>
    <definedName name="comp" localSheetId="1">#REF!</definedName>
    <definedName name="comp" localSheetId="4">#REF!</definedName>
    <definedName name="comp">#REF!</definedName>
    <definedName name="Continue">#N/A</definedName>
    <definedName name="cost1112">'[7]Committee 11-12'!$A$1:$J$121</definedName>
    <definedName name="costdata" localSheetId="2">#REF!</definedName>
    <definedName name="costdata" localSheetId="0">#REF!</definedName>
    <definedName name="costdata" localSheetId="3">#REF!</definedName>
    <definedName name="costdata" localSheetId="1">#REF!</definedName>
    <definedName name="costdata" localSheetId="4">#REF!</definedName>
    <definedName name="costdata">#REF!</definedName>
    <definedName name="costdt" localSheetId="2">#REF!</definedName>
    <definedName name="costdt" localSheetId="0">#REF!</definedName>
    <definedName name="costdt" localSheetId="3">#REF!</definedName>
    <definedName name="costdt" localSheetId="1">#REF!</definedName>
    <definedName name="costdt" localSheetId="4">#REF!</definedName>
    <definedName name="costdt">#REF!</definedName>
    <definedName name="CRUST_THICK" localSheetId="2">#REF!</definedName>
    <definedName name="CRUST_THICK" localSheetId="0">#REF!</definedName>
    <definedName name="CRUST_THICK" localSheetId="3">#REF!</definedName>
    <definedName name="CRUST_THICK" localSheetId="1">#REF!</definedName>
    <definedName name="CRUST_THICK" localSheetId="4">#REF!</definedName>
    <definedName name="CRUST_THICK">#REF!</definedName>
    <definedName name="Cum_Int" localSheetId="2">#REF!</definedName>
    <definedName name="Cum_Int" localSheetId="0">#REF!</definedName>
    <definedName name="Cum_Int" localSheetId="3">#REF!</definedName>
    <definedName name="Cum_Int" localSheetId="1">#REF!</definedName>
    <definedName name="Cum_Int" localSheetId="4">#REF!</definedName>
    <definedName name="Cum_Int">#REF!</definedName>
    <definedName name="DATA" localSheetId="2">#REF!</definedName>
    <definedName name="DATA" localSheetId="0">#REF!</definedName>
    <definedName name="DATA" localSheetId="3">#REF!</definedName>
    <definedName name="DATA" localSheetId="1">#REF!</definedName>
    <definedName name="DATA" localSheetId="4">#REF!</definedName>
    <definedName name="DATA">#REF!</definedName>
    <definedName name="_xlnm.Database" localSheetId="2">#REF!</definedName>
    <definedName name="_xlnm.Database" localSheetId="0">#REF!</definedName>
    <definedName name="_xlnm.Database" localSheetId="3">#REF!</definedName>
    <definedName name="_xlnm.Database" localSheetId="1">#REF!</definedName>
    <definedName name="_xlnm.Database" localSheetId="4">#REF!</definedName>
    <definedName name="_xlnm.Database">#REF!</definedName>
    <definedName name="dbase1" localSheetId="2">#REF!</definedName>
    <definedName name="dbase1" localSheetId="0">#REF!</definedName>
    <definedName name="dbase1" localSheetId="3">#REF!</definedName>
    <definedName name="dbase1" localSheetId="1">#REF!</definedName>
    <definedName name="dbase1" localSheetId="4">#REF!</definedName>
    <definedName name="dbase1">#REF!</definedName>
    <definedName name="dddd" localSheetId="2">'[1]B-Chart'!#REF!</definedName>
    <definedName name="dddd" localSheetId="0">'[1]B-Chart'!#REF!</definedName>
    <definedName name="dddd" localSheetId="3">'[1]B-Chart'!#REF!</definedName>
    <definedName name="dddd" localSheetId="1">'[1]B-Chart'!#REF!</definedName>
    <definedName name="dddd" localSheetId="4">'[1]B-Chart'!#REF!</definedName>
    <definedName name="dddd">'[1]B-Chart'!#REF!</definedName>
    <definedName name="Document_array">{"Book1","Mtrl Bills.xls"}</definedName>
    <definedName name="Documents_array">#N/A</definedName>
    <definedName name="DV" localSheetId="2">#REF!</definedName>
    <definedName name="DV" localSheetId="0">#REF!</definedName>
    <definedName name="DV" localSheetId="3">#REF!</definedName>
    <definedName name="DV" localSheetId="1">#REF!</definedName>
    <definedName name="DV" localSheetId="4">#REF!</definedName>
    <definedName name="DV">#REF!</definedName>
    <definedName name="EHJR" localSheetId="2">#REF!</definedName>
    <definedName name="EHJR" localSheetId="0">#REF!</definedName>
    <definedName name="EHJR" localSheetId="3">#REF!</definedName>
    <definedName name="EHJR" localSheetId="1">#REF!</definedName>
    <definedName name="EHJR" localSheetId="4">#REF!</definedName>
    <definedName name="EHJR">#REF!</definedName>
    <definedName name="End_Bal" localSheetId="2">#REF!</definedName>
    <definedName name="End_Bal" localSheetId="0">#REF!</definedName>
    <definedName name="End_Bal" localSheetId="3">#REF!</definedName>
    <definedName name="End_Bal" localSheetId="1">#REF!</definedName>
    <definedName name="End_Bal" localSheetId="4">#REF!</definedName>
    <definedName name="End_Bal">#REF!</definedName>
    <definedName name="Excel_BuiltIn__FilterDatabase_31" localSheetId="2">#REF!</definedName>
    <definedName name="Excel_BuiltIn__FilterDatabase_31" localSheetId="0">#REF!</definedName>
    <definedName name="Excel_BuiltIn__FilterDatabase_31" localSheetId="3">#REF!</definedName>
    <definedName name="Excel_BuiltIn__FilterDatabase_31" localSheetId="1">#REF!</definedName>
    <definedName name="Excel_BuiltIn__FilterDatabase_31" localSheetId="4">#REF!</definedName>
    <definedName name="Excel_BuiltIn__FilterDatabase_31">#REF!</definedName>
    <definedName name="Excel_BuiltIn_Print_Area_19" localSheetId="2">#REF!</definedName>
    <definedName name="Excel_BuiltIn_Print_Area_19" localSheetId="0">#REF!</definedName>
    <definedName name="Excel_BuiltIn_Print_Area_19" localSheetId="3">#REF!</definedName>
    <definedName name="Excel_BuiltIn_Print_Area_19" localSheetId="1">#REF!</definedName>
    <definedName name="Excel_BuiltIn_Print_Area_19" localSheetId="4">#REF!</definedName>
    <definedName name="Excel_BuiltIn_Print_Area_19">#REF!</definedName>
    <definedName name="Excel_BuiltIn_Print_Area_20" localSheetId="2">#REF!</definedName>
    <definedName name="Excel_BuiltIn_Print_Area_20" localSheetId="0">#REF!</definedName>
    <definedName name="Excel_BuiltIn_Print_Area_20" localSheetId="3">#REF!</definedName>
    <definedName name="Excel_BuiltIn_Print_Area_20" localSheetId="1">#REF!</definedName>
    <definedName name="Excel_BuiltIn_Print_Area_20" localSheetId="4">#REF!</definedName>
    <definedName name="Excel_BuiltIn_Print_Area_20">#REF!</definedName>
    <definedName name="Excel_BuiltIn_Print_Area_21" localSheetId="2">#REF!</definedName>
    <definedName name="Excel_BuiltIn_Print_Area_21" localSheetId="0">#REF!</definedName>
    <definedName name="Excel_BuiltIn_Print_Area_21" localSheetId="3">#REF!</definedName>
    <definedName name="Excel_BuiltIn_Print_Area_21" localSheetId="1">#REF!</definedName>
    <definedName name="Excel_BuiltIn_Print_Area_21" localSheetId="4">#REF!</definedName>
    <definedName name="Excel_BuiltIn_Print_Area_21">#REF!</definedName>
    <definedName name="Excel_BuiltIn_Print_Area_26" localSheetId="2">#REF!</definedName>
    <definedName name="Excel_BuiltIn_Print_Area_26" localSheetId="0">#REF!</definedName>
    <definedName name="Excel_BuiltIn_Print_Area_26" localSheetId="3">#REF!</definedName>
    <definedName name="Excel_BuiltIn_Print_Area_26" localSheetId="1">#REF!</definedName>
    <definedName name="Excel_BuiltIn_Print_Area_26" localSheetId="4">#REF!</definedName>
    <definedName name="Excel_BuiltIn_Print_Area_26">#REF!</definedName>
    <definedName name="Excel_BuiltIn_Print_Area_27" localSheetId="2">#REF!</definedName>
    <definedName name="Excel_BuiltIn_Print_Area_27" localSheetId="0">#REF!</definedName>
    <definedName name="Excel_BuiltIn_Print_Area_27" localSheetId="3">#REF!</definedName>
    <definedName name="Excel_BuiltIn_Print_Area_27" localSheetId="1">#REF!</definedName>
    <definedName name="Excel_BuiltIn_Print_Area_27" localSheetId="4">#REF!</definedName>
    <definedName name="Excel_BuiltIn_Print_Area_27">#REF!</definedName>
    <definedName name="Excel_BuiltIn_Print_Area_28" localSheetId="2">#REF!</definedName>
    <definedName name="Excel_BuiltIn_Print_Area_28" localSheetId="0">#REF!</definedName>
    <definedName name="Excel_BuiltIn_Print_Area_28" localSheetId="3">#REF!</definedName>
    <definedName name="Excel_BuiltIn_Print_Area_28" localSheetId="1">#REF!</definedName>
    <definedName name="Excel_BuiltIn_Print_Area_28" localSheetId="4">#REF!</definedName>
    <definedName name="Excel_BuiltIn_Print_Area_28">#REF!</definedName>
    <definedName name="Excel_BuiltIn_Print_Area_29" localSheetId="2">#REF!</definedName>
    <definedName name="Excel_BuiltIn_Print_Area_29" localSheetId="0">#REF!</definedName>
    <definedName name="Excel_BuiltIn_Print_Area_29" localSheetId="3">#REF!</definedName>
    <definedName name="Excel_BuiltIn_Print_Area_29" localSheetId="1">#REF!</definedName>
    <definedName name="Excel_BuiltIn_Print_Area_29" localSheetId="4">#REF!</definedName>
    <definedName name="Excel_BuiltIn_Print_Area_29">#REF!</definedName>
    <definedName name="Excel_BuiltIn_Print_Area_30" localSheetId="2">#REF!</definedName>
    <definedName name="Excel_BuiltIn_Print_Area_30" localSheetId="0">#REF!</definedName>
    <definedName name="Excel_BuiltIn_Print_Area_30" localSheetId="3">#REF!</definedName>
    <definedName name="Excel_BuiltIn_Print_Area_30" localSheetId="1">#REF!</definedName>
    <definedName name="Excel_BuiltIn_Print_Area_30" localSheetId="4">#REF!</definedName>
    <definedName name="Excel_BuiltIn_Print_Area_30">#REF!</definedName>
    <definedName name="Excel_BuiltIn_Print_Titles_26" localSheetId="2">#REF!</definedName>
    <definedName name="Excel_BuiltIn_Print_Titles_26" localSheetId="0">#REF!</definedName>
    <definedName name="Excel_BuiltIn_Print_Titles_26" localSheetId="3">#REF!</definedName>
    <definedName name="Excel_BuiltIn_Print_Titles_26" localSheetId="1">#REF!</definedName>
    <definedName name="Excel_BuiltIn_Print_Titles_26" localSheetId="4">#REF!</definedName>
    <definedName name="Excel_BuiltIn_Print_Titles_26">#REF!</definedName>
    <definedName name="Excel_BuiltIn_Print_Titles_27" localSheetId="2">#REF!</definedName>
    <definedName name="Excel_BuiltIn_Print_Titles_27" localSheetId="0">#REF!</definedName>
    <definedName name="Excel_BuiltIn_Print_Titles_27" localSheetId="3">#REF!</definedName>
    <definedName name="Excel_BuiltIn_Print_Titles_27" localSheetId="1">#REF!</definedName>
    <definedName name="Excel_BuiltIn_Print_Titles_27" localSheetId="4">#REF!</definedName>
    <definedName name="Excel_BuiltIn_Print_Titles_27">#REF!</definedName>
    <definedName name="Excel_BuiltIn_Print_Titles_28" localSheetId="2">#REF!</definedName>
    <definedName name="Excel_BuiltIn_Print_Titles_28" localSheetId="0">#REF!</definedName>
    <definedName name="Excel_BuiltIn_Print_Titles_28" localSheetId="3">#REF!</definedName>
    <definedName name="Excel_BuiltIn_Print_Titles_28" localSheetId="1">#REF!</definedName>
    <definedName name="Excel_BuiltIn_Print_Titles_28" localSheetId="4">#REF!</definedName>
    <definedName name="Excel_BuiltIn_Print_Titles_28">#REF!</definedName>
    <definedName name="Excel_BuiltIn_Print_Titles_29" localSheetId="2">#REF!</definedName>
    <definedName name="Excel_BuiltIn_Print_Titles_29" localSheetId="0">#REF!</definedName>
    <definedName name="Excel_BuiltIn_Print_Titles_29" localSheetId="3">#REF!</definedName>
    <definedName name="Excel_BuiltIn_Print_Titles_29" localSheetId="1">#REF!</definedName>
    <definedName name="Excel_BuiltIn_Print_Titles_29" localSheetId="4">#REF!</definedName>
    <definedName name="Excel_BuiltIn_Print_Titles_29">#REF!</definedName>
    <definedName name="Excel_BuiltIn_Print_Titles_30" localSheetId="2">#REF!</definedName>
    <definedName name="Excel_BuiltIn_Print_Titles_30" localSheetId="0">#REF!</definedName>
    <definedName name="Excel_BuiltIn_Print_Titles_30" localSheetId="3">#REF!</definedName>
    <definedName name="Excel_BuiltIn_Print_Titles_30" localSheetId="1">#REF!</definedName>
    <definedName name="Excel_BuiltIn_Print_Titles_30" localSheetId="4">#REF!</definedName>
    <definedName name="Excel_BuiltIn_Print_Titles_30">#REF!</definedName>
    <definedName name="Extra_Pay" localSheetId="2">#REF!</definedName>
    <definedName name="Extra_Pay" localSheetId="0">#REF!</definedName>
    <definedName name="Extra_Pay" localSheetId="3">#REF!</definedName>
    <definedName name="Extra_Pay" localSheetId="1">#REF!</definedName>
    <definedName name="Extra_Pay" localSheetId="4">#REF!</definedName>
    <definedName name="Extra_Pay">#REF!</definedName>
    <definedName name="F" localSheetId="2">#REF!</definedName>
    <definedName name="F" localSheetId="0">#REF!</definedName>
    <definedName name="F" localSheetId="3">#REF!</definedName>
    <definedName name="F" localSheetId="1">#REF!</definedName>
    <definedName name="F" localSheetId="4">#REF!</definedName>
    <definedName name="F">#REF!</definedName>
    <definedName name="FTFGH" localSheetId="2">#REF!</definedName>
    <definedName name="FTFGH" localSheetId="0">#REF!</definedName>
    <definedName name="FTFGH" localSheetId="3">#REF!</definedName>
    <definedName name="FTFGH" localSheetId="1">#REF!</definedName>
    <definedName name="FTFGH" localSheetId="4">#REF!</definedName>
    <definedName name="FTFGH">#REF!</definedName>
    <definedName name="Full_Print" localSheetId="2">#REF!</definedName>
    <definedName name="Full_Print" localSheetId="0">#REF!</definedName>
    <definedName name="Full_Print" localSheetId="3">#REF!</definedName>
    <definedName name="Full_Print" localSheetId="1">#REF!</definedName>
    <definedName name="Full_Print" localSheetId="4">#REF!</definedName>
    <definedName name="Full_Print">#REF!</definedName>
    <definedName name="FV" localSheetId="2">#REF!</definedName>
    <definedName name="FV" localSheetId="0">#REF!</definedName>
    <definedName name="FV" localSheetId="3">#REF!</definedName>
    <definedName name="FV" localSheetId="1">#REF!</definedName>
    <definedName name="FV" localSheetId="4">#REF!</definedName>
    <definedName name="FV">#REF!</definedName>
    <definedName name="FVDS" localSheetId="2">#REF!</definedName>
    <definedName name="FVDS" localSheetId="0">#REF!</definedName>
    <definedName name="FVDS" localSheetId="3">#REF!</definedName>
    <definedName name="FVDS" localSheetId="1">#REF!</definedName>
    <definedName name="FVDS" localSheetId="4">#REF!</definedName>
    <definedName name="FVDS">#REF!</definedName>
    <definedName name="FVSD" localSheetId="2">#REF!</definedName>
    <definedName name="FVSD" localSheetId="0">#REF!</definedName>
    <definedName name="FVSD" localSheetId="3">#REF!</definedName>
    <definedName name="FVSD" localSheetId="1">#REF!</definedName>
    <definedName name="FVSD" localSheetId="4">#REF!</definedName>
    <definedName name="FVSD">#REF!</definedName>
    <definedName name="GABSTRACT" localSheetId="2">#REF!</definedName>
    <definedName name="GABSTRACT" localSheetId="0">#REF!</definedName>
    <definedName name="GABSTRACT" localSheetId="3">#REF!</definedName>
    <definedName name="GABSTRACT" localSheetId="1">#REF!</definedName>
    <definedName name="GABSTRACT" localSheetId="4">#REF!</definedName>
    <definedName name="GABSTRACT">#REF!</definedName>
    <definedName name="h" localSheetId="2">#REF!</definedName>
    <definedName name="h" localSheetId="0">#REF!</definedName>
    <definedName name="h" localSheetId="3">#REF!</definedName>
    <definedName name="h" localSheetId="1">#REF!</definedName>
    <definedName name="h" localSheetId="4">#REF!</definedName>
    <definedName name="h">#REF!</definedName>
    <definedName name="he" localSheetId="2">#REF!</definedName>
    <definedName name="he" localSheetId="0">#REF!</definedName>
    <definedName name="he" localSheetId="3">#REF!</definedName>
    <definedName name="he" localSheetId="1">#REF!</definedName>
    <definedName name="he" localSheetId="4">#REF!</definedName>
    <definedName name="he">#REF!</definedName>
    <definedName name="Header_Row" localSheetId="2">ROW(#REF!)</definedName>
    <definedName name="Header_Row" localSheetId="0">ROW(#REF!)</definedName>
    <definedName name="Header_Row" localSheetId="3">ROW(#REF!)</definedName>
    <definedName name="Header_Row" localSheetId="1">ROW(#REF!)</definedName>
    <definedName name="Header_Row" localSheetId="4">ROW(#REF!)</definedName>
    <definedName name="Header_Row">ROW(#REF!)</definedName>
    <definedName name="hehr" localSheetId="2">#REF!</definedName>
    <definedName name="hehr" localSheetId="0">#REF!</definedName>
    <definedName name="hehr" localSheetId="3">#REF!</definedName>
    <definedName name="hehr" localSheetId="1">#REF!</definedName>
    <definedName name="hehr" localSheetId="4">#REF!</definedName>
    <definedName name="hehr">#REF!</definedName>
    <definedName name="Hello">#N/A</definedName>
    <definedName name="hhr" localSheetId="2">#REF!</definedName>
    <definedName name="hhr" localSheetId="0">#REF!</definedName>
    <definedName name="hhr" localSheetId="3">#REF!</definedName>
    <definedName name="hhr" localSheetId="1">#REF!</definedName>
    <definedName name="hhr" localSheetId="4">#REF!</definedName>
    <definedName name="hhr">#REF!</definedName>
    <definedName name="HYDRAULIC_STATE" localSheetId="2">#REF!</definedName>
    <definedName name="HYDRAULIC_STATE" localSheetId="0">#REF!</definedName>
    <definedName name="HYDRAULIC_STATE" localSheetId="3">#REF!</definedName>
    <definedName name="HYDRAULIC_STATE" localSheetId="1">#REF!</definedName>
    <definedName name="HYDRAULIC_STATE" localSheetId="4">#REF!</definedName>
    <definedName name="HYDRAULIC_STATE">#REF!</definedName>
    <definedName name="i">'[7]Data base 12-13 back Jan 10'!$B$1:$H$781</definedName>
    <definedName name="ii">'[7]Data base 12-13 back Jan 10'!$B$1:$F$780</definedName>
    <definedName name="Int" localSheetId="2">#REF!</definedName>
    <definedName name="Int" localSheetId="0">#REF!</definedName>
    <definedName name="Int" localSheetId="3">#REF!</definedName>
    <definedName name="Int" localSheetId="1">#REF!</definedName>
    <definedName name="Int" localSheetId="4">#REF!</definedName>
    <definedName name="Int">#REF!</definedName>
    <definedName name="Interest_Rate" localSheetId="2">#REF!</definedName>
    <definedName name="Interest_Rate" localSheetId="0">#REF!</definedName>
    <definedName name="Interest_Rate" localSheetId="3">#REF!</definedName>
    <definedName name="Interest_Rate" localSheetId="1">#REF!</definedName>
    <definedName name="Interest_Rate" localSheetId="4">#REF!</definedName>
    <definedName name="Interest_Rate">#REF!</definedName>
    <definedName name="Jan_15" localSheetId="2">hlooup([8]Summary!XEX1,'[8]RBPL Variation in %'!$A$3:$BV$32,(SUMIFS('[8]RBPL Variation in %'!$A$3:$A$32,'[8]RBPL Variation in %'!$C$3:$C$32,[8]Summary!XFD1)+2),0)</definedName>
    <definedName name="Jan_15" localSheetId="0">hlooup([8]Summary!XEX1,'[8]RBPL Variation in %'!$A$3:$BV$32,(SUMIFS('[8]RBPL Variation in %'!$A$3:$A$32,'[8]RBPL Variation in %'!$C$3:$C$32,[8]Summary!XFD1)+2),0)</definedName>
    <definedName name="Jan_15" localSheetId="3">hlooup([8]Summary!XEX1,'[8]RBPL Variation in %'!$A$3:$BV$32,(SUMIFS('[8]RBPL Variation in %'!$A$3:$A$32,'[8]RBPL Variation in %'!$C$3:$C$32,[8]Summary!XFD1)+2),0)</definedName>
    <definedName name="Jan_15" localSheetId="1">hlooup([8]Summary!XEX1,'[8]RBPL Variation in %'!$A$3:$BV$32,(SUMIFS('[8]RBPL Variation in %'!$A$3:$A$32,'[8]RBPL Variation in %'!$C$3:$C$32,[8]Summary!XFD1)+2),0)</definedName>
    <definedName name="Jan_15" localSheetId="4">hlooup([8]Summary!XEX1,'[8]RBPL Variation in %'!$A$3:$BV$32,(SUMIFS('[8]RBPL Variation in %'!$A$3:$A$32,'[8]RBPL Variation in %'!$C$3:$C$32,[8]Summary!XFD1)+2),0)</definedName>
    <definedName name="Jan_15">hlooup([8]Summary!XEX1,'[8]RBPL Variation in %'!$A$3:$BV$32,(SUMIFS('[8]RBPL Variation in %'!$A$3:$A$32,'[8]RBPL Variation in %'!$C$3:$C$32,[8]Summary!XFD1)+2),0)</definedName>
    <definedName name="jawed" localSheetId="2">'[9]Activity No (A) ( 12)  '!#REF!</definedName>
    <definedName name="jawed" localSheetId="0">'[9]Activity No (A) ( 12)  '!#REF!</definedName>
    <definedName name="jawed" localSheetId="3">'[9]Activity No (A) ( 12)  '!#REF!</definedName>
    <definedName name="jawed" localSheetId="1">'[9]Activity No (A) ( 12)  '!#REF!</definedName>
    <definedName name="jawed" localSheetId="4">'[9]Activity No (A) ( 12)  '!#REF!</definedName>
    <definedName name="jawed">'[9]Activity No (A) ( 12)  '!#REF!</definedName>
    <definedName name="jj" localSheetId="2">#REF!</definedName>
    <definedName name="jj" localSheetId="0">#REF!</definedName>
    <definedName name="jj" localSheetId="3">#REF!</definedName>
    <definedName name="jj" localSheetId="1">#REF!</definedName>
    <definedName name="jj" localSheetId="4">#REF!</definedName>
    <definedName name="jj">#REF!</definedName>
    <definedName name="june">'[10]Data base'!$B$5:$F$238</definedName>
    <definedName name="k" localSheetId="2">'[7]Data base 12-13 back Jan 10'!#REF!</definedName>
    <definedName name="k" localSheetId="0">'[7]Data base 12-13 back Jan 10'!#REF!</definedName>
    <definedName name="k" localSheetId="3">'[7]Data base 12-13 back Jan 10'!#REF!</definedName>
    <definedName name="k" localSheetId="1">'[7]Data base 12-13 back Jan 10'!#REF!</definedName>
    <definedName name="k" localSheetId="4">'[7]Data base 12-13 back Jan 10'!#REF!</definedName>
    <definedName name="k">'[7]Data base 12-13 back Jan 10'!#REF!</definedName>
    <definedName name="kgfuv" localSheetId="2">#REF!</definedName>
    <definedName name="kgfuv" localSheetId="0">#REF!</definedName>
    <definedName name="kgfuv" localSheetId="3">#REF!</definedName>
    <definedName name="kgfuv" localSheetId="1">#REF!</definedName>
    <definedName name="kgfuv" localSheetId="4">#REF!</definedName>
    <definedName name="kgfuv">#REF!</definedName>
    <definedName name="kk" localSheetId="2">#REF!</definedName>
    <definedName name="kk" localSheetId="0">#REF!</definedName>
    <definedName name="kk" localSheetId="3">#REF!</definedName>
    <definedName name="kk" localSheetId="1">#REF!</definedName>
    <definedName name="kk" localSheetId="4">#REF!</definedName>
    <definedName name="kk">#REF!</definedName>
    <definedName name="Last_Row">#N/A</definedName>
    <definedName name="lka">'[11]data usm'!$C$1:$F$96</definedName>
    <definedName name="ll" localSheetId="2">#REF!</definedName>
    <definedName name="ll" localSheetId="0">#REF!</definedName>
    <definedName name="ll" localSheetId="3">#REF!</definedName>
    <definedName name="ll" localSheetId="1">#REF!</definedName>
    <definedName name="ll" localSheetId="4">#REF!</definedName>
    <definedName name="ll">#REF!</definedName>
    <definedName name="Loan_Amount" localSheetId="2">#REF!</definedName>
    <definedName name="Loan_Amount" localSheetId="0">#REF!</definedName>
    <definedName name="Loan_Amount" localSheetId="3">#REF!</definedName>
    <definedName name="Loan_Amount" localSheetId="1">#REF!</definedName>
    <definedName name="Loan_Amount" localSheetId="4">#REF!</definedName>
    <definedName name="Loan_Amount">#REF!</definedName>
    <definedName name="Loan_Start" localSheetId="2">#REF!</definedName>
    <definedName name="Loan_Start" localSheetId="0">#REF!</definedName>
    <definedName name="Loan_Start" localSheetId="3">#REF!</definedName>
    <definedName name="Loan_Start" localSheetId="1">#REF!</definedName>
    <definedName name="Loan_Start" localSheetId="4">#REF!</definedName>
    <definedName name="Loan_Start">#REF!</definedName>
    <definedName name="Loan_Years" localSheetId="2">#REF!</definedName>
    <definedName name="Loan_Years" localSheetId="0">#REF!</definedName>
    <definedName name="Loan_Years" localSheetId="3">#REF!</definedName>
    <definedName name="Loan_Years" localSheetId="1">#REF!</definedName>
    <definedName name="Loan_Years" localSheetId="4">#REF!</definedName>
    <definedName name="Loan_Years">#REF!</definedName>
    <definedName name="Lot_id">[12]Masters!$B$36</definedName>
    <definedName name="MEASMTSOF_ROAD" localSheetId="2">#REF!</definedName>
    <definedName name="MEASMTSOF_ROAD" localSheetId="0">#REF!</definedName>
    <definedName name="MEASMTSOF_ROAD" localSheetId="3">#REF!</definedName>
    <definedName name="MEASMTSOF_ROAD" localSheetId="1">#REF!</definedName>
    <definedName name="MEASMTSOF_ROAD" localSheetId="4">#REF!</definedName>
    <definedName name="MEASMTSOF_ROAD">#REF!</definedName>
    <definedName name="MEASUREMENT" localSheetId="2">#REF!</definedName>
    <definedName name="MEASUREMENT" localSheetId="0">#REF!</definedName>
    <definedName name="MEASUREMENT" localSheetId="3">#REF!</definedName>
    <definedName name="MEASUREMENT" localSheetId="1">#REF!</definedName>
    <definedName name="MEASUREMENT" localSheetId="4">#REF!</definedName>
    <definedName name="MEASUREMENT">#REF!</definedName>
    <definedName name="MILESTONET10" localSheetId="2">#REF!</definedName>
    <definedName name="MILESTONET10" localSheetId="0">#REF!</definedName>
    <definedName name="MILESTONET10" localSheetId="3">#REF!</definedName>
    <definedName name="MILESTONET10" localSheetId="1">#REF!</definedName>
    <definedName name="MILESTONET10" localSheetId="4">#REF!</definedName>
    <definedName name="MILESTONET10">#REF!</definedName>
    <definedName name="mnt">[13]EDWise!$P$2:$Q$183</definedName>
    <definedName name="MSEDCL_Rate" localSheetId="2">VLOOKUP(#REF!,#REF!,2,FALSE)</definedName>
    <definedName name="MSEDCL_Rate" localSheetId="0">VLOOKUP(#REF!,#REF!,2,FALSE)</definedName>
    <definedName name="MSEDCL_Rate" localSheetId="3">VLOOKUP(#REF!,#REF!,2,FALSE)</definedName>
    <definedName name="MSEDCL_Rate" localSheetId="1">VLOOKUP(#REF!,#REF!,2,FALSE)</definedName>
    <definedName name="MSEDCL_Rate" localSheetId="4">VLOOKUP(#REF!,#REF!,2,FALSE)</definedName>
    <definedName name="MSEDCL_Rate">VLOOKUP(#REF!,#REF!,2,FALSE)</definedName>
    <definedName name="Nashik" localSheetId="2" hidden="1">#REF!</definedName>
    <definedName name="Nashik" localSheetId="0" hidden="1">#REF!</definedName>
    <definedName name="Nashik" localSheetId="3" hidden="1">#REF!</definedName>
    <definedName name="Nashik" localSheetId="1" hidden="1">#REF!</definedName>
    <definedName name="Nashik" localSheetId="4" hidden="1">#REF!</definedName>
    <definedName name="Nashik" hidden="1">#REF!</definedName>
    <definedName name="new" localSheetId="2" hidden="1">#REF!</definedName>
    <definedName name="new" localSheetId="0" hidden="1">#REF!</definedName>
    <definedName name="new" localSheetId="3" hidden="1">#REF!</definedName>
    <definedName name="new" localSheetId="1" hidden="1">#REF!</definedName>
    <definedName name="new" localSheetId="4" hidden="1">#REF!</definedName>
    <definedName name="new" hidden="1">#REF!</definedName>
    <definedName name="Num_Pmt_Per_Year" localSheetId="2">#REF!</definedName>
    <definedName name="Num_Pmt_Per_Year" localSheetId="0">#REF!</definedName>
    <definedName name="Num_Pmt_Per_Year" localSheetId="3">#REF!</definedName>
    <definedName name="Num_Pmt_Per_Year" localSheetId="1">#REF!</definedName>
    <definedName name="Num_Pmt_Per_Year" localSheetId="4">#REF!</definedName>
    <definedName name="Num_Pmt_Per_Year">#REF!</definedName>
    <definedName name="Pay_Date" localSheetId="2">#REF!</definedName>
    <definedName name="Pay_Date" localSheetId="0">#REF!</definedName>
    <definedName name="Pay_Date" localSheetId="3">#REF!</definedName>
    <definedName name="Pay_Date" localSheetId="1">#REF!</definedName>
    <definedName name="Pay_Date" localSheetId="4">#REF!</definedName>
    <definedName name="Pay_Date">#REF!</definedName>
    <definedName name="Pay_Num" localSheetId="2">#REF!</definedName>
    <definedName name="Pay_Num" localSheetId="0">#REF!</definedName>
    <definedName name="Pay_Num" localSheetId="3">#REF!</definedName>
    <definedName name="Pay_Num" localSheetId="1">#REF!</definedName>
    <definedName name="Pay_Num" localSheetId="4">#REF!</definedName>
    <definedName name="Pay_Num">#REF!</definedName>
    <definedName name="Perc_Insp">SUMIFS('[8]RBPL Variation in %'!$I:$I,'[8]RBPL Variation in %'!$B:$B,[8]Summary!XEV1,'[8]RBPL Variation in %'!$C:$C,[8]Summary!XFD1)</definedName>
    <definedName name="Perc_MS">SUMIFS('[8]RBPL Variation in %'!$I:$I,'[8]RBPL Variation in %'!$B:$B,[8]Summary!XES1,'[8]RBPL Variation in %'!$C:$C,[8]Summary!XFD1)</definedName>
    <definedName name="Princ" localSheetId="2">#REF!</definedName>
    <definedName name="Princ" localSheetId="0">#REF!</definedName>
    <definedName name="Princ" localSheetId="3">#REF!</definedName>
    <definedName name="Princ" localSheetId="1">#REF!</definedName>
    <definedName name="Princ" localSheetId="4">#REF!</definedName>
    <definedName name="Princ">#REF!</definedName>
    <definedName name="_xlnm.Print_Area" localSheetId="5">'1'!$A$1:$L$408</definedName>
    <definedName name="_xlnm.Print_Area" localSheetId="2">'PODIUM&amp;HJ&amp;CLUB'!$A$1:$M$405</definedName>
    <definedName name="_xlnm.Print_Area" localSheetId="0">'TOWER-A'!$A$1:$M$427</definedName>
    <definedName name="_xlnm.Print_Area" localSheetId="3">'TOWER-A,B BELOW 1ST FLOOR'!$A$1:$M$401</definedName>
    <definedName name="_xlnm.Print_Area" localSheetId="1">'TOWER-B'!$A$1:$M$424</definedName>
    <definedName name="_xlnm.Print_Area" localSheetId="4">'TOWER-C,D BELOW 1ST FLOOR '!$A$1:$M$400</definedName>
    <definedName name="_xlnm.Print_Area">#REF!</definedName>
    <definedName name="PRINT_AREA_MI" localSheetId="2">#REF!</definedName>
    <definedName name="PRINT_AREA_MI" localSheetId="0">#REF!</definedName>
    <definedName name="PRINT_AREA_MI" localSheetId="3">#REF!</definedName>
    <definedName name="PRINT_AREA_MI" localSheetId="1">#REF!</definedName>
    <definedName name="PRINT_AREA_MI" localSheetId="4">#REF!</definedName>
    <definedName name="PRINT_AREA_MI">#REF!</definedName>
    <definedName name="_xlnm.Print_Titles" localSheetId="2">#REF!</definedName>
    <definedName name="_xlnm.Print_Titles" localSheetId="0">#REF!</definedName>
    <definedName name="_xlnm.Print_Titles" localSheetId="3">#REF!</definedName>
    <definedName name="_xlnm.Print_Titles" localSheetId="1">#REF!</definedName>
    <definedName name="_xlnm.Print_Titles" localSheetId="4">#REF!</definedName>
    <definedName name="_xlnm.Print_Titles">#REF!</definedName>
    <definedName name="PRINT_TITLES_MI" localSheetId="2">#REF!</definedName>
    <definedName name="PRINT_TITLES_MI" localSheetId="0">#REF!</definedName>
    <definedName name="PRINT_TITLES_MI" localSheetId="3">#REF!</definedName>
    <definedName name="PRINT_TITLES_MI" localSheetId="1">#REF!</definedName>
    <definedName name="PRINT_TITLES_MI" localSheetId="4">#REF!</definedName>
    <definedName name="PRINT_TITLES_MI">#REF!</definedName>
    <definedName name="Qty">[14]QTY!$A$2:$B$168</definedName>
    <definedName name="RA" localSheetId="2">#REF!</definedName>
    <definedName name="RA" localSheetId="0">#REF!</definedName>
    <definedName name="RA" localSheetId="3">#REF!</definedName>
    <definedName name="RA" localSheetId="1">#REF!</definedName>
    <definedName name="RA" localSheetId="4">#REF!</definedName>
    <definedName name="RA">#REF!</definedName>
    <definedName name="Range" localSheetId="2">#REF!</definedName>
    <definedName name="Range" localSheetId="0">#REF!</definedName>
    <definedName name="Range" localSheetId="3">#REF!</definedName>
    <definedName name="Range" localSheetId="1">#REF!</definedName>
    <definedName name="Range" localSheetId="4">#REF!</definedName>
    <definedName name="Range">#REF!</definedName>
    <definedName name="range1">[2]EDWise!$P$2:$Q$183</definedName>
    <definedName name="range11">[15]EDWise!$P$2:$Q$183</definedName>
    <definedName name="range2">[2]EDWise!$P$2:$Q$183</definedName>
    <definedName name="range22">[15]EDWise!$P$2:$Q$183</definedName>
    <definedName name="RangeCir">[15]EDWise!$P$2:$Q$183</definedName>
    <definedName name="RangeDiv" localSheetId="2">#REF!</definedName>
    <definedName name="RangeDiv" localSheetId="0">#REF!</definedName>
    <definedName name="RangeDiv" localSheetId="3">#REF!</definedName>
    <definedName name="RangeDiv" localSheetId="1">#REF!</definedName>
    <definedName name="RangeDiv" localSheetId="4">#REF!</definedName>
    <definedName name="RangeDiv">#REF!</definedName>
    <definedName name="RangeZon" localSheetId="2">#REF!</definedName>
    <definedName name="RangeZon" localSheetId="0">#REF!</definedName>
    <definedName name="RangeZon" localSheetId="3">#REF!</definedName>
    <definedName name="RangeZon" localSheetId="1">#REF!</definedName>
    <definedName name="RangeZon" localSheetId="4">#REF!</definedName>
    <definedName name="RangeZon">#REF!</definedName>
    <definedName name="rara">[6]EDWise!$P$2:$Q$183</definedName>
    <definedName name="reee">[6]EDWise!$P$2:$Q$183</definedName>
    <definedName name="rere">[6]EDWise!$P$2:$Q$183</definedName>
    <definedName name="rr">[13]EDWise!$P$2:$Q$183</definedName>
    <definedName name="rrrrr">[6]EDWise!$P$2:$Q$183</definedName>
    <definedName name="rrrrrrrr">[6]EDWise!$P$2:$Q$183</definedName>
    <definedName name="rrrsr">[6]EDWise!$P$2:$Q$183</definedName>
    <definedName name="S" localSheetId="2">'[1]B-Chart'!#REF!</definedName>
    <definedName name="S" localSheetId="0">'[1]B-Chart'!#REF!</definedName>
    <definedName name="S" localSheetId="3">'[1]B-Chart'!#REF!</definedName>
    <definedName name="S" localSheetId="1">'[1]B-Chart'!#REF!</definedName>
    <definedName name="S" localSheetId="4">'[1]B-Chart'!#REF!</definedName>
    <definedName name="S">'[1]B-Chart'!#REF!</definedName>
    <definedName name="sa">{"Book1","Mtrl Bills.xls"}</definedName>
    <definedName name="sadadsa" localSheetId="2">#REF!</definedName>
    <definedName name="sadadsa" localSheetId="0">#REF!</definedName>
    <definedName name="sadadsa" localSheetId="3">#REF!</definedName>
    <definedName name="sadadsa" localSheetId="1">#REF!</definedName>
    <definedName name="sadadsa" localSheetId="4">#REF!</definedName>
    <definedName name="sadadsa">#REF!</definedName>
    <definedName name="sadasdas" localSheetId="2">#REF!</definedName>
    <definedName name="sadasdas" localSheetId="0">#REF!</definedName>
    <definedName name="sadasdas" localSheetId="3">#REF!</definedName>
    <definedName name="sadasdas" localSheetId="1">#REF!</definedName>
    <definedName name="sadasdas" localSheetId="4">#REF!</definedName>
    <definedName name="sadasdas">#REF!</definedName>
    <definedName name="sat">{"Book1","Mtrl Bills.xls"}</definedName>
    <definedName name="Scheduled_Extra_Payments" localSheetId="2">#REF!</definedName>
    <definedName name="Scheduled_Extra_Payments" localSheetId="0">#REF!</definedName>
    <definedName name="Scheduled_Extra_Payments" localSheetId="3">#REF!</definedName>
    <definedName name="Scheduled_Extra_Payments" localSheetId="1">#REF!</definedName>
    <definedName name="Scheduled_Extra_Payments" localSheetId="4">#REF!</definedName>
    <definedName name="Scheduled_Extra_Payments">#REF!</definedName>
    <definedName name="Scheduled_Interest_Rate" localSheetId="2">#REF!</definedName>
    <definedName name="Scheduled_Interest_Rate" localSheetId="0">#REF!</definedName>
    <definedName name="Scheduled_Interest_Rate" localSheetId="3">#REF!</definedName>
    <definedName name="Scheduled_Interest_Rate" localSheetId="1">#REF!</definedName>
    <definedName name="Scheduled_Interest_Rate" localSheetId="4">#REF!</definedName>
    <definedName name="Scheduled_Interest_Rate">#REF!</definedName>
    <definedName name="Scheduled_Monthly_Payment" localSheetId="2">#REF!</definedName>
    <definedName name="Scheduled_Monthly_Payment" localSheetId="0">#REF!</definedName>
    <definedName name="Scheduled_Monthly_Payment" localSheetId="3">#REF!</definedName>
    <definedName name="Scheduled_Monthly_Payment" localSheetId="1">#REF!</definedName>
    <definedName name="Scheduled_Monthly_Payment" localSheetId="4">#REF!</definedName>
    <definedName name="Scheduled_Monthly_Payment">#REF!</definedName>
    <definedName name="SDASD" localSheetId="2">hlooup([8]Summary!XEX1,'[8]RBPL Variation in %'!$A$3:$BV$32,(SUMIFS('[8]RBPL Variation in %'!$A$3:$A$32,'[8]RBPL Variation in %'!$C$3:$C$32,[8]Summary!XFD1)+2),0)</definedName>
    <definedName name="SDASD" localSheetId="0">hlooup([8]Summary!XEX1,'[8]RBPL Variation in %'!$A$3:$BV$32,(SUMIFS('[8]RBPL Variation in %'!$A$3:$A$32,'[8]RBPL Variation in %'!$C$3:$C$32,[8]Summary!XFD1)+2),0)</definedName>
    <definedName name="SDASD" localSheetId="3">hlooup([8]Summary!XEX1,'[8]RBPL Variation in %'!$A$3:$BV$32,(SUMIFS('[8]RBPL Variation in %'!$A$3:$A$32,'[8]RBPL Variation in %'!$C$3:$C$32,[8]Summary!XFD1)+2),0)</definedName>
    <definedName name="SDASD" localSheetId="1">hlooup([8]Summary!XEX1,'[8]RBPL Variation in %'!$A$3:$BV$32,(SUMIFS('[8]RBPL Variation in %'!$A$3:$A$32,'[8]RBPL Variation in %'!$C$3:$C$32,[8]Summary!XFD1)+2),0)</definedName>
    <definedName name="SDASD" localSheetId="4">hlooup([8]Summary!XEX1,'[8]RBPL Variation in %'!$A$3:$BV$32,(SUMIFS('[8]RBPL Variation in %'!$A$3:$A$32,'[8]RBPL Variation in %'!$C$3:$C$32,[8]Summary!XFD1)+2),0)</definedName>
    <definedName name="SDASD">hlooup([8]Summary!XEX1,'[8]RBPL Variation in %'!$A$3:$BV$32,(SUMIFS('[8]RBPL Variation in %'!$A$3:$A$32,'[8]RBPL Variation in %'!$C$3:$C$32,[8]Summary!XFD1)+2),0)</definedName>
    <definedName name="sdfd" localSheetId="2" hidden="1">[3]drg!#REF!</definedName>
    <definedName name="sdfd" localSheetId="0" hidden="1">[3]drg!#REF!</definedName>
    <definedName name="sdfd" localSheetId="3" hidden="1">[3]drg!#REF!</definedName>
    <definedName name="sdfd" localSheetId="1" hidden="1">[3]drg!#REF!</definedName>
    <definedName name="sdfd" localSheetId="4" hidden="1">[3]drg!#REF!</definedName>
    <definedName name="sdfd" hidden="1">[3]drg!#REF!</definedName>
    <definedName name="SGSTRate" localSheetId="2">IF(#REF!=28%,14%,IF(#REF!=18%,9%,IF(#REF!=12%,6%,IF(#REF!=5%,2.5%,IF(#REF!=3%,1.5%,IF(#REF!=0.25%,0.125%,IF(#REF!=0%,0%,"")))))))</definedName>
    <definedName name="SGSTRate" localSheetId="0">IF(#REF!=28%,14%,IF(#REF!=18%,9%,IF(#REF!=12%,6%,IF(#REF!=5%,2.5%,IF(#REF!=3%,1.5%,IF(#REF!=0.25%,0.125%,IF(#REF!=0%,0%,"")))))))</definedName>
    <definedName name="SGSTRate" localSheetId="3">IF(#REF!=28%,14%,IF(#REF!=18%,9%,IF(#REF!=12%,6%,IF(#REF!=5%,2.5%,IF(#REF!=3%,1.5%,IF(#REF!=0.25%,0.125%,IF(#REF!=0%,0%,"")))))))</definedName>
    <definedName name="SGSTRate" localSheetId="1">IF(#REF!=28%,14%,IF(#REF!=18%,9%,IF(#REF!=12%,6%,IF(#REF!=5%,2.5%,IF(#REF!=3%,1.5%,IF(#REF!=0.25%,0.125%,IF(#REF!=0%,0%,"")))))))</definedName>
    <definedName name="SGSTRate" localSheetId="4">IF(#REF!=28%,14%,IF(#REF!=18%,9%,IF(#REF!=12%,6%,IF(#REF!=5%,2.5%,IF(#REF!=3%,1.5%,IF(#REF!=0.25%,0.125%,IF(#REF!=0%,0%,"")))))))</definedName>
    <definedName name="SGSTRate">IF(#REF!=28%,14%,IF(#REF!=18%,9%,IF(#REF!=12%,6%,IF(#REF!=5%,2.5%,IF(#REF!=3%,1.5%,IF(#REF!=0.25%,0.125%,IF(#REF!=0%,0%,"")))))))</definedName>
    <definedName name="SKETCH" localSheetId="2">#REF!</definedName>
    <definedName name="SKETCH" localSheetId="0">#REF!</definedName>
    <definedName name="SKETCH" localSheetId="3">#REF!</definedName>
    <definedName name="SKETCH" localSheetId="1">#REF!</definedName>
    <definedName name="SKETCH" localSheetId="4">#REF!</definedName>
    <definedName name="SKETCH">#REF!</definedName>
    <definedName name="table" localSheetId="2">#REF!</definedName>
    <definedName name="table" localSheetId="0">#REF!</definedName>
    <definedName name="table" localSheetId="3">#REF!</definedName>
    <definedName name="table" localSheetId="1">#REF!</definedName>
    <definedName name="table" localSheetId="4">#REF!</definedName>
    <definedName name="table">#REF!</definedName>
    <definedName name="tala" localSheetId="2" hidden="1">[16]A!#REF!</definedName>
    <definedName name="tala" localSheetId="0" hidden="1">[16]A!#REF!</definedName>
    <definedName name="tala" localSheetId="3" hidden="1">[16]A!#REF!</definedName>
    <definedName name="tala" localSheetId="1" hidden="1">[16]A!#REF!</definedName>
    <definedName name="tala" localSheetId="4" hidden="1">[16]A!#REF!</definedName>
    <definedName name="tala" hidden="1">[16]A!#REF!</definedName>
    <definedName name="TaxTV">10%</definedName>
    <definedName name="TaxXL">5%</definedName>
    <definedName name="ThisInvoice" localSheetId="2">SUMIFS(#REF!,#REF!,'[17]90% Cost of Civill'!$C1,#REF!,"Total")</definedName>
    <definedName name="ThisInvoice" localSheetId="0">SUMIFS(#REF!,#REF!,'[17]90% Cost of Civill'!$C1,#REF!,"Total")</definedName>
    <definedName name="ThisInvoice" localSheetId="3">SUMIFS(#REF!,#REF!,'[17]90% Cost of Civill'!$C1,#REF!,"Total")</definedName>
    <definedName name="ThisInvoice" localSheetId="1">SUMIFS(#REF!,#REF!,'[17]90% Cost of Civill'!$C1,#REF!,"Total")</definedName>
    <definedName name="ThisInvoice" localSheetId="4">SUMIFS(#REF!,#REF!,'[17]90% Cost of Civill'!$C1,#REF!,"Total")</definedName>
    <definedName name="ThisInvoice">SUMIFS(#REF!,#REF!,'[17]90% Cost of Civill'!$C1,#REF!,"Total")</definedName>
    <definedName name="Total_Interest" localSheetId="2">#REF!</definedName>
    <definedName name="Total_Interest" localSheetId="0">#REF!</definedName>
    <definedName name="Total_Interest" localSheetId="3">#REF!</definedName>
    <definedName name="Total_Interest" localSheetId="1">#REF!</definedName>
    <definedName name="Total_Interest" localSheetId="4">#REF!</definedName>
    <definedName name="Total_Interest">#REF!</definedName>
    <definedName name="Total_Pay" localSheetId="2">#REF!</definedName>
    <definedName name="Total_Pay" localSheetId="0">#REF!</definedName>
    <definedName name="Total_Pay" localSheetId="3">#REF!</definedName>
    <definedName name="Total_Pay" localSheetId="1">#REF!</definedName>
    <definedName name="Total_Pay" localSheetId="4">#REF!</definedName>
    <definedName name="Total_Pay">#REF!</definedName>
    <definedName name="TRA" localSheetId="2">#REF!</definedName>
    <definedName name="TRA" localSheetId="0">#REF!</definedName>
    <definedName name="TRA" localSheetId="3">#REF!</definedName>
    <definedName name="TRA" localSheetId="1">#REF!</definedName>
    <definedName name="TRA" localSheetId="4">#REF!</definedName>
    <definedName name="TRA">#REF!</definedName>
    <definedName name="try" localSheetId="2">#REF!</definedName>
    <definedName name="try" localSheetId="0">#REF!</definedName>
    <definedName name="try" localSheetId="3">#REF!</definedName>
    <definedName name="try" localSheetId="1">#REF!</definedName>
    <definedName name="try" localSheetId="4">#REF!</definedName>
    <definedName name="try">#REF!</definedName>
    <definedName name="tyert" localSheetId="2">#REF!</definedName>
    <definedName name="tyert" localSheetId="0">#REF!</definedName>
    <definedName name="tyert" localSheetId="3">#REF!</definedName>
    <definedName name="tyert" localSheetId="1">#REF!</definedName>
    <definedName name="tyert" localSheetId="4">#REF!</definedName>
    <definedName name="tyert">#REF!</definedName>
    <definedName name="u" localSheetId="2">'[18]B-Chart'!#REF!</definedName>
    <definedName name="u" localSheetId="0">'[18]B-Chart'!#REF!</definedName>
    <definedName name="u" localSheetId="3">'[18]B-Chart'!#REF!</definedName>
    <definedName name="u" localSheetId="1">'[18]B-Chart'!#REF!</definedName>
    <definedName name="u" localSheetId="4">'[18]B-Chart'!#REF!</definedName>
    <definedName name="u">'[18]B-Chart'!#REF!</definedName>
    <definedName name="VDZV" localSheetId="2">#REF!</definedName>
    <definedName name="VDZV" localSheetId="0">#REF!</definedName>
    <definedName name="VDZV" localSheetId="3">#REF!</definedName>
    <definedName name="VDZV" localSheetId="1">#REF!</definedName>
    <definedName name="VDZV" localSheetId="4">#REF!</definedName>
    <definedName name="VDZV">#REF!</definedName>
    <definedName name="VFSZ" localSheetId="2">#REF!</definedName>
    <definedName name="VFSZ" localSheetId="0">#REF!</definedName>
    <definedName name="VFSZ" localSheetId="3">#REF!</definedName>
    <definedName name="VFSZ" localSheetId="1">#REF!</definedName>
    <definedName name="VFSZ" localSheetId="4">#REF!</definedName>
    <definedName name="VFSZ">#REF!</definedName>
    <definedName name="vgyr45" localSheetId="2">#REF!</definedName>
    <definedName name="vgyr45" localSheetId="0">#REF!</definedName>
    <definedName name="vgyr45" localSheetId="3">#REF!</definedName>
    <definedName name="vgyr45" localSheetId="1">#REF!</definedName>
    <definedName name="vgyr45" localSheetId="4">#REF!</definedName>
    <definedName name="vgyr45">#REF!</definedName>
    <definedName name="VSDZV" localSheetId="2">#REF!</definedName>
    <definedName name="VSDZV" localSheetId="0">#REF!</definedName>
    <definedName name="VSDZV" localSheetId="3">#REF!</definedName>
    <definedName name="VSDZV" localSheetId="1">#REF!</definedName>
    <definedName name="VSDZV" localSheetId="4">#REF!</definedName>
    <definedName name="VSDZV">#REF!</definedName>
    <definedName name="wre">[6]EDWise!$P$2:$Q$183</definedName>
    <definedName name="wrwr">[6]EDWise!$P$2:$Q$183</definedName>
    <definedName name="ww">[13]EDWise!$P$2:$Q$183</definedName>
    <definedName name="xyz">[6]EDWise!$P$2:$Q$183</definedName>
    <definedName name="Z" localSheetId="2">[19]wt!#REF!</definedName>
    <definedName name="Z" localSheetId="0">[19]wt!#REF!</definedName>
    <definedName name="Z" localSheetId="3">[19]wt!#REF!</definedName>
    <definedName name="Z" localSheetId="1">[19]wt!#REF!</definedName>
    <definedName name="Z" localSheetId="4">[19]wt!#REF!</definedName>
    <definedName name="Z">[19]wt!#REF!</definedName>
    <definedName name="ZDF" localSheetId="2">#REF!</definedName>
    <definedName name="ZDF" localSheetId="0">#REF!</definedName>
    <definedName name="ZDF" localSheetId="3">#REF!</definedName>
    <definedName name="ZDF" localSheetId="1">#REF!</definedName>
    <definedName name="ZDF" localSheetId="4">#REF!</definedName>
    <definedName name="ZDF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" i="14" l="1"/>
  <c r="I53" i="14"/>
  <c r="I30" i="15"/>
  <c r="I10" i="15"/>
  <c r="J400" i="18"/>
  <c r="I52" i="14" l="1"/>
  <c r="I51" i="14"/>
  <c r="I8" i="17"/>
  <c r="I9" i="17"/>
  <c r="J401" i="17" l="1"/>
  <c r="I19" i="15" l="1"/>
  <c r="I18" i="15"/>
  <c r="J427" i="16"/>
  <c r="I26" i="14" l="1"/>
  <c r="I11" i="14"/>
  <c r="J405" i="15"/>
  <c r="I10" i="14" l="1"/>
  <c r="J424" i="14"/>
  <c r="I351" i="3" l="1"/>
  <c r="I350" i="3"/>
  <c r="I346" i="3"/>
  <c r="I345" i="3"/>
  <c r="I341" i="3"/>
  <c r="I340" i="3"/>
  <c r="I339" i="3"/>
  <c r="I338" i="3"/>
  <c r="I289" i="3" l="1"/>
  <c r="K287" i="3"/>
  <c r="K281" i="3"/>
  <c r="K280" i="3"/>
  <c r="I272" i="3" l="1"/>
  <c r="K270" i="3"/>
  <c r="K269" i="3"/>
  <c r="K268" i="3"/>
  <c r="K267" i="3"/>
  <c r="K266" i="3"/>
  <c r="K265" i="3"/>
  <c r="K264" i="3"/>
  <c r="I114" i="3" l="1"/>
  <c r="I408" i="3" s="1"/>
  <c r="K19" i="3"/>
  <c r="K20" i="3"/>
  <c r="K21" i="3"/>
  <c r="K22" i="3"/>
  <c r="K23" i="3"/>
  <c r="K18" i="3"/>
</calcChain>
</file>

<file path=xl/sharedStrings.xml><?xml version="1.0" encoding="utf-8"?>
<sst xmlns="http://schemas.openxmlformats.org/spreadsheetml/2006/main" count="3776" uniqueCount="512">
  <si>
    <t>PLASTER WORK</t>
  </si>
  <si>
    <t>SR NO</t>
  </si>
  <si>
    <t>UNIT</t>
  </si>
  <si>
    <t>REMARK</t>
  </si>
  <si>
    <t>SQM</t>
  </si>
  <si>
    <t>SITE:- GRAND RESIDENCE</t>
  </si>
  <si>
    <t>A</t>
  </si>
  <si>
    <t>TOWER A</t>
  </si>
  <si>
    <t>LIFT LOBBY</t>
  </si>
  <si>
    <t>4TH FLOOR</t>
  </si>
  <si>
    <t>6TH FLOOR</t>
  </si>
  <si>
    <t>CORRIDOR</t>
  </si>
  <si>
    <t>8TH FLOOR</t>
  </si>
  <si>
    <t>10TH FLOOR</t>
  </si>
  <si>
    <t>12TH FLOOR</t>
  </si>
  <si>
    <t>13TH FLOOR</t>
  </si>
  <si>
    <t>14TH FLOOR</t>
  </si>
  <si>
    <t>15TH FLOOR</t>
  </si>
  <si>
    <t>TOTAL QTY</t>
  </si>
  <si>
    <t>11TH FLOOR</t>
  </si>
  <si>
    <t>16TH FLOOR</t>
  </si>
  <si>
    <t xml:space="preserve">TOWER  </t>
  </si>
  <si>
    <t>LOCATION</t>
  </si>
  <si>
    <t>CONTRACTOR NAME</t>
  </si>
  <si>
    <t>QTY AS PER BILL</t>
  </si>
  <si>
    <t>DIFF.</t>
  </si>
  <si>
    <t>BILL NO.</t>
  </si>
  <si>
    <t>INTERNAL/EXTERNAL</t>
  </si>
  <si>
    <t>FLOOR</t>
  </si>
  <si>
    <t>3RD FLOOR</t>
  </si>
  <si>
    <t>MS CONSTRUCTION</t>
  </si>
  <si>
    <t>RA-22</t>
  </si>
  <si>
    <t xml:space="preserve">INTERNAL </t>
  </si>
  <si>
    <t>OK</t>
  </si>
  <si>
    <t>EXTERNAL</t>
  </si>
  <si>
    <t>TERRACE FLOOR</t>
  </si>
  <si>
    <t>SERVENT TOILET</t>
  </si>
  <si>
    <t>CORRIDOR CUTOUT</t>
  </si>
  <si>
    <t>2ND FLOOR</t>
  </si>
  <si>
    <t>SS CONSTRUCTION</t>
  </si>
  <si>
    <t>RA-12</t>
  </si>
  <si>
    <t>11TH TO TERRACE</t>
  </si>
  <si>
    <t>DEAD WALL (FLAT SERIES-03)</t>
  </si>
  <si>
    <t>18TH FLOOR</t>
  </si>
  <si>
    <t>RMT</t>
  </si>
  <si>
    <t>401,404,405,406-SDW JAM TOP</t>
  </si>
  <si>
    <t>401,404,405,406-SDW JAM BOTTOM</t>
  </si>
  <si>
    <t>6TH &amp; 7TH FLOOR</t>
  </si>
  <si>
    <t>NOS</t>
  </si>
  <si>
    <t>ST-01</t>
  </si>
  <si>
    <t>ST-02</t>
  </si>
  <si>
    <t>VISHAL CONSTRUCTION</t>
  </si>
  <si>
    <t>RA-13</t>
  </si>
  <si>
    <t>17TH TO 18TH FLOOR</t>
  </si>
  <si>
    <t>17TH TO 19TH FLOOR</t>
  </si>
  <si>
    <t>1ST,2ND,3RD FLOOR</t>
  </si>
  <si>
    <t>DEAD WALL (FLAT SERIES-01)</t>
  </si>
  <si>
    <t>10TH,11TH FLOOR</t>
  </si>
  <si>
    <t>1005,1006,1105,1106-SDW JAM TOP</t>
  </si>
  <si>
    <t>RA-19</t>
  </si>
  <si>
    <t>OHWT</t>
  </si>
  <si>
    <t>LIFT MACHINE ROOM</t>
  </si>
  <si>
    <t>RA-17</t>
  </si>
  <si>
    <t>1202,1203,1205,1206 SDW JAM TOP/BOTTOM</t>
  </si>
  <si>
    <t>1302,1303,1305,1306 SDW JAM TOP/BOTTOM</t>
  </si>
  <si>
    <t>17TH FLOOR</t>
  </si>
  <si>
    <t>1704</t>
  </si>
  <si>
    <t>1705</t>
  </si>
  <si>
    <t>1706</t>
  </si>
  <si>
    <t>10TH FLOOR TO TERRACE</t>
  </si>
  <si>
    <t>1701</t>
  </si>
  <si>
    <t>1702</t>
  </si>
  <si>
    <t>1703</t>
  </si>
  <si>
    <t>RA-11</t>
  </si>
  <si>
    <t>201</t>
  </si>
  <si>
    <t>206</t>
  </si>
  <si>
    <t>1ST TO 2ND FLOOR</t>
  </si>
  <si>
    <t>DEAD WALL (FLAT SERIES-06)</t>
  </si>
  <si>
    <t>1ST TO 18TH FLOOR</t>
  </si>
  <si>
    <t>6TH TO 19TH FLOOR</t>
  </si>
  <si>
    <t>6TH TO 10TH FLOOR</t>
  </si>
  <si>
    <t>601,602,606,701,702,706,806,901,902,906,1001,1002,603,604,605,703,704,705,803,805,903,904,905,1003,1004-SDW JAM TOP</t>
  </si>
  <si>
    <t>601,602,606,701,702,706,806,901,902,906,1001,1002,603,604,605,703,704,705,803,805,903,904,905,1003,1004-SDW JAM BOTTOM</t>
  </si>
  <si>
    <t>1602,1603</t>
  </si>
  <si>
    <t>RA-10</t>
  </si>
  <si>
    <t>BEAM (FLAT SERIES-01)</t>
  </si>
  <si>
    <t>14TH TO 19TH FLOOR</t>
  </si>
  <si>
    <t>11TH TO 16TH FLOOR</t>
  </si>
  <si>
    <t>1101,1102,1103,1104,1201,1204,1301,1304,1401,1402,1405,1406,1501,1502,1505,1506,1601,1602,1605,1606-SDW JAM TOP</t>
  </si>
  <si>
    <t>1101,1102,1103,1104,1201,1204,1301,1304,1401,1402,1405,1406,1501,1502,1505,1506,1601,1602,1605,1606-SDW JAM BOTTOM</t>
  </si>
  <si>
    <t>1402,1403</t>
  </si>
  <si>
    <t>RA-09</t>
  </si>
  <si>
    <t>1502,1503</t>
  </si>
  <si>
    <t>1505,1506</t>
  </si>
  <si>
    <t>1605,1606</t>
  </si>
  <si>
    <t>11TH TO 19TH FLOOR</t>
  </si>
  <si>
    <t>BEAM (FLAT SERIES-02)</t>
  </si>
  <si>
    <r>
      <t>C TYPE OUTER CORRIDOR</t>
    </r>
    <r>
      <rPr>
        <sz val="11"/>
        <color theme="1"/>
        <rFont val="Times New Roman"/>
        <family val="1"/>
      </rPr>
      <t xml:space="preserve"> (FLAT SERIES-01,06)</t>
    </r>
  </si>
  <si>
    <t>17TH &amp; 18TH FLOOR</t>
  </si>
  <si>
    <t>CORRIDOR-SHAFT &amp; LIFT PASSAGE</t>
  </si>
  <si>
    <t>13TH &amp; 19TH FLOOR &amp; OHWT</t>
  </si>
  <si>
    <t>1202,1203</t>
  </si>
  <si>
    <t>1302,1303</t>
  </si>
  <si>
    <t>1305,1306</t>
  </si>
  <si>
    <t>1105,1106</t>
  </si>
  <si>
    <t>1005</t>
  </si>
  <si>
    <t>13TH TO 18TH FLOOR</t>
  </si>
  <si>
    <t>1ST TO 16TH FLOOR</t>
  </si>
  <si>
    <t>12TH TO 18TH FLOOR</t>
  </si>
  <si>
    <t>BALCONY FOUNTAIN WALL (FLAT SERIES-01,02)</t>
  </si>
  <si>
    <t>RA-08</t>
  </si>
  <si>
    <t>1205,1206</t>
  </si>
  <si>
    <t>11TH TO 18TH FLOOR</t>
  </si>
  <si>
    <t xml:space="preserve">C TYPE </t>
  </si>
  <si>
    <t>14TH TO 17TH FLOOR</t>
  </si>
  <si>
    <t>12TH TO 15TH FLOOR</t>
  </si>
  <si>
    <t>ELECTRICAL ROOM</t>
  </si>
  <si>
    <t>1005,1006</t>
  </si>
  <si>
    <t>806</t>
  </si>
  <si>
    <t>805</t>
  </si>
  <si>
    <t>1406</t>
  </si>
  <si>
    <t>1405</t>
  </si>
  <si>
    <t>1601</t>
  </si>
  <si>
    <t>14TH TO 15TH FLOOR</t>
  </si>
  <si>
    <t>CORRODOR</t>
  </si>
  <si>
    <t>CORRODOR-SHAFT &amp; LIFT</t>
  </si>
  <si>
    <t>806,1406,1601</t>
  </si>
  <si>
    <t>8TH,14TH,16TH FLOOR</t>
  </si>
  <si>
    <t>805,1405,1604</t>
  </si>
  <si>
    <t>12TH TO 16TH FLOOR</t>
  </si>
  <si>
    <t>DEAD WALL (FLAT SERIES-01,06)</t>
  </si>
  <si>
    <t>C TYPE (FLAT SERIES-01,06)</t>
  </si>
  <si>
    <t>11TH TO 13TH FLOOR</t>
  </si>
  <si>
    <t>MASTER TOILET SHAFT</t>
  </si>
  <si>
    <t>4TH TO 12TH FLOOR</t>
  </si>
  <si>
    <t>6TH TO 16TH FLOOR</t>
  </si>
  <si>
    <t>FIRE STAIRCASE</t>
  </si>
  <si>
    <t>12TH TO 17TH FLOOR</t>
  </si>
  <si>
    <t>BEAM (FLAT SERIES-03)</t>
  </si>
  <si>
    <t>7TH TO 15TH FLOOR</t>
  </si>
  <si>
    <t>RA-07</t>
  </si>
  <si>
    <t>STILT FLOOR</t>
  </si>
  <si>
    <t>SERVICE LIFT LOBBY</t>
  </si>
  <si>
    <t>COLUMN WITH CORRIDOR</t>
  </si>
  <si>
    <t>1ST FLOOR</t>
  </si>
  <si>
    <t>COLUMN- 73,74,75</t>
  </si>
  <si>
    <t>604</t>
  </si>
  <si>
    <t>5TH &amp; 6TH FLOOR</t>
  </si>
  <si>
    <t>1004</t>
  </si>
  <si>
    <t>3RD TO 12TH FLOOR</t>
  </si>
  <si>
    <t>1301</t>
  </si>
  <si>
    <t>1304</t>
  </si>
  <si>
    <t>CORRIDOR -LIFT &amp; SHAFT</t>
  </si>
  <si>
    <t>1401</t>
  </si>
  <si>
    <t>INTERNAL</t>
  </si>
  <si>
    <t>1404</t>
  </si>
  <si>
    <t>1501</t>
  </si>
  <si>
    <t>1504</t>
  </si>
  <si>
    <t>4TH,6TH,13TH,14TH,15TH FLOOR</t>
  </si>
  <si>
    <t>BALCONY SERIES-01</t>
  </si>
  <si>
    <t>13TH,14TH,15TH FLOOR</t>
  </si>
  <si>
    <t>BALCONY SERIES-04</t>
  </si>
  <si>
    <t>1101</t>
  </si>
  <si>
    <t>RA-06</t>
  </si>
  <si>
    <t>1102</t>
  </si>
  <si>
    <t>1201</t>
  </si>
  <si>
    <t>1ST TO 11TH FLOOR</t>
  </si>
  <si>
    <r>
      <t xml:space="preserve">C TYPE OUTER CHAJJA  </t>
    </r>
    <r>
      <rPr>
        <sz val="11"/>
        <color theme="1"/>
        <rFont val="Times New Roman"/>
        <family val="1"/>
      </rPr>
      <t xml:space="preserve"> (FLAT SERIES-01,06)</t>
    </r>
  </si>
  <si>
    <r>
      <t xml:space="preserve">C TYPE ELEVATION WALL  </t>
    </r>
    <r>
      <rPr>
        <sz val="11"/>
        <color theme="1"/>
        <rFont val="Times New Roman"/>
        <family val="1"/>
      </rPr>
      <t xml:space="preserve"> (FLAT SERIES-01,06)</t>
    </r>
  </si>
  <si>
    <t>1104</t>
  </si>
  <si>
    <t>1204</t>
  </si>
  <si>
    <t>1103</t>
  </si>
  <si>
    <t>8TH,9TH &amp; 10TH FLOOR</t>
  </si>
  <si>
    <t>1101,1102,1201</t>
  </si>
  <si>
    <t>1103,1104,1204</t>
  </si>
  <si>
    <t>11TH &amp; 12TH FLOOR</t>
  </si>
  <si>
    <t>4TH &amp; 10TH FLOOR</t>
  </si>
  <si>
    <t>9TH FLOOR</t>
  </si>
  <si>
    <t>901</t>
  </si>
  <si>
    <t>RA-05</t>
  </si>
  <si>
    <t>902</t>
  </si>
  <si>
    <t>904</t>
  </si>
  <si>
    <t>905</t>
  </si>
  <si>
    <t>906</t>
  </si>
  <si>
    <t>605</t>
  </si>
  <si>
    <t>606</t>
  </si>
  <si>
    <t>2ND TO 10TH FLOOR</t>
  </si>
  <si>
    <r>
      <t xml:space="preserve">C TYPE ELEVATION WALL  </t>
    </r>
    <r>
      <rPr>
        <sz val="11"/>
        <color theme="1"/>
        <rFont val="Times New Roman"/>
        <family val="1"/>
      </rPr>
      <t xml:space="preserve"> (FLAT SERIES-03,04)</t>
    </r>
  </si>
  <si>
    <r>
      <t xml:space="preserve">C TYPE OUTER CHAJJA  </t>
    </r>
    <r>
      <rPr>
        <sz val="11"/>
        <color theme="1"/>
        <rFont val="Times New Roman"/>
        <family val="1"/>
      </rPr>
      <t xml:space="preserve"> (FLAT SERIES-03,04)</t>
    </r>
  </si>
  <si>
    <t>1001</t>
  </si>
  <si>
    <t>1002</t>
  </si>
  <si>
    <t>1003</t>
  </si>
  <si>
    <t>901,902,906,1001,1002,606</t>
  </si>
  <si>
    <t>9TH,10TH FLOOR</t>
  </si>
  <si>
    <t>904,905,1003,605</t>
  </si>
  <si>
    <t>6TH,9TH,10TH FLOOR</t>
  </si>
  <si>
    <t>7TH FLOOR</t>
  </si>
  <si>
    <t>706</t>
  </si>
  <si>
    <t>RA-04</t>
  </si>
  <si>
    <t>801</t>
  </si>
  <si>
    <t>802</t>
  </si>
  <si>
    <t>705</t>
  </si>
  <si>
    <t>803</t>
  </si>
  <si>
    <t>804</t>
  </si>
  <si>
    <t>6TH,7TH FLOOR</t>
  </si>
  <si>
    <t>BEAM (FLAT SERIES-02,03)</t>
  </si>
  <si>
    <t>705,803,804</t>
  </si>
  <si>
    <t>7TH,8TH FLOOR</t>
  </si>
  <si>
    <t>801,802</t>
  </si>
  <si>
    <t>701</t>
  </si>
  <si>
    <t>RA-03</t>
  </si>
  <si>
    <t>702</t>
  </si>
  <si>
    <t>703</t>
  </si>
  <si>
    <t>704</t>
  </si>
  <si>
    <t>1ST TO 12TH FLOOR</t>
  </si>
  <si>
    <t>701,702,703,704</t>
  </si>
  <si>
    <t>5TH FLOOR</t>
  </si>
  <si>
    <t>503</t>
  </si>
  <si>
    <t>RA-02</t>
  </si>
  <si>
    <t>504</t>
  </si>
  <si>
    <t>603</t>
  </si>
  <si>
    <t>501</t>
  </si>
  <si>
    <t>502</t>
  </si>
  <si>
    <t>601</t>
  </si>
  <si>
    <t>602</t>
  </si>
  <si>
    <t>RA-01</t>
  </si>
  <si>
    <t>401</t>
  </si>
  <si>
    <t>406</t>
  </si>
  <si>
    <t>404</t>
  </si>
  <si>
    <t>405</t>
  </si>
  <si>
    <t>CORRIDOR CEILING</t>
  </si>
  <si>
    <t>1ST TO 19TH FLOOR</t>
  </si>
  <si>
    <t>2ND TO TERRACE FLOOR</t>
  </si>
  <si>
    <t>BEAM (FLAT SERIES-04)</t>
  </si>
  <si>
    <t>RA-24</t>
  </si>
  <si>
    <t>BALCONY FOUNTAIN WALL (FLAT SERIES-04,05,06)</t>
  </si>
  <si>
    <t>SWIMMING POOL</t>
  </si>
  <si>
    <t>301,302,303,304,305,306 SDW JAM BOTTOM</t>
  </si>
  <si>
    <t>RA-16</t>
  </si>
  <si>
    <t>PENTHOUSE</t>
  </si>
  <si>
    <t>RA-27</t>
  </si>
  <si>
    <t>DEAD WALL (FLAT SERIES-04)</t>
  </si>
  <si>
    <t>BALCONY FOUNTAIN WALL (FLAT SERIES-02,03,05,06)</t>
  </si>
  <si>
    <t>BALCONY FOUNTAIN WALL (FLAT SERIES-05,06)</t>
  </si>
  <si>
    <t>2ND TO 18TH FLOOR</t>
  </si>
  <si>
    <t xml:space="preserve">WALL THICKNESS 350MM </t>
  </si>
  <si>
    <t>TYPE-01,02,05,09</t>
  </si>
  <si>
    <t>RA-15</t>
  </si>
  <si>
    <t>18TH TO 19TH FLOOR</t>
  </si>
  <si>
    <t>PODIUM SIDE</t>
  </si>
  <si>
    <t>SERVENT ROOM (FLAT NO-01,02,06)</t>
  </si>
  <si>
    <t>EXTEND PLASTER 600MM</t>
  </si>
  <si>
    <t>2ND TO 19TH FLOOR</t>
  </si>
  <si>
    <t>BEAM (FLAT SERIES-06)</t>
  </si>
  <si>
    <t>12TH TO 19TH FLOOR</t>
  </si>
  <si>
    <t>RA-14</t>
  </si>
  <si>
    <t>RESTAURANT</t>
  </si>
  <si>
    <t>CLUBHOUSE</t>
  </si>
  <si>
    <t>TOWER B</t>
  </si>
  <si>
    <t>TOWER A &amp; B</t>
  </si>
  <si>
    <t>RA-29</t>
  </si>
  <si>
    <t>BEAM (FLAT SERIES-05)</t>
  </si>
  <si>
    <t>13TH TO 17TH FLOOR</t>
  </si>
  <si>
    <t>BUND WALL TOP</t>
  </si>
  <si>
    <t>BALCONY FOUNTAIN WALL (FLAT SERIES-05)</t>
  </si>
  <si>
    <t>WALL JAM (FRONT 300MM WALL THICKNESS)</t>
  </si>
  <si>
    <t>3RD,4TH,6TH,9TH,10TH,13TH,14TH,15TH,16TH,17TH FLOOR</t>
  </si>
  <si>
    <t>BEAM INNER SIDE</t>
  </si>
  <si>
    <t>10TH,11TH,12TH FLOOR</t>
  </si>
  <si>
    <t>BALCONY FOUNTAIN WALL (FLAT SERIES-01,02,03,04)</t>
  </si>
  <si>
    <t>CORRIDOR &amp; ENTERANCE LOBBY</t>
  </si>
  <si>
    <t>2ND,3RD,5TH,6TH,7TH,9TH,10TH,11TH,12TH,13TH,14TH,15TH,16TH,17TH,18TH, FLOOR</t>
  </si>
  <si>
    <t>3 NOS LIFT SIDE</t>
  </si>
  <si>
    <t>5TH TO 17TH FLOOR</t>
  </si>
  <si>
    <t>CUTOUT-05</t>
  </si>
  <si>
    <t>CUTOUT-02</t>
  </si>
  <si>
    <t>6TH TO 18TH FLOOR</t>
  </si>
  <si>
    <t>CUTOUT-06</t>
  </si>
  <si>
    <t>CUTOUT-07</t>
  </si>
  <si>
    <t>CUTOUT-08</t>
  </si>
  <si>
    <t>6TH TO 17TH FLOOR</t>
  </si>
  <si>
    <t>CUTOUT-09</t>
  </si>
  <si>
    <t>UNCOMPLETED PORTION (DEAD WALL CORNER)</t>
  </si>
  <si>
    <t>GROUND FLOOR</t>
  </si>
  <si>
    <t>RAMP WALL</t>
  </si>
  <si>
    <t xml:space="preserve">C4 TO 6 &amp;C5 TO 6 </t>
  </si>
  <si>
    <t>SHAFT</t>
  </si>
  <si>
    <t>TRIPLE HEIGHT LOBBY DRIVE WAY SIDE SHAFT</t>
  </si>
  <si>
    <t>LUGGAGE ROOM</t>
  </si>
  <si>
    <t>SHAFT PLUMBING</t>
  </si>
  <si>
    <t>CUTOUT-1,2,3,4,5,6,7,8,9</t>
  </si>
  <si>
    <t>2ND TO 9TH FLOOR</t>
  </si>
  <si>
    <t>BUND WALL TOP (ALTERNATE BALCONY)</t>
  </si>
  <si>
    <t>2ND TO 11TH FLOOR</t>
  </si>
  <si>
    <t>LEDGE WALL-602,603,604,605,606 &amp; 701,702,703,704,705,706</t>
  </si>
  <si>
    <t>2ND TO 17TH FLOOR</t>
  </si>
  <si>
    <t>RA-21</t>
  </si>
  <si>
    <t>RA-35</t>
  </si>
  <si>
    <t>LEDGE WALL-1302,1303</t>
  </si>
  <si>
    <t>LEDGE WALL-1602,1603</t>
  </si>
  <si>
    <t>LEDGE WALL-301,302,303,304</t>
  </si>
  <si>
    <t>RA-40</t>
  </si>
  <si>
    <t>101,102,104-SDW JAM TOP</t>
  </si>
  <si>
    <t>101,102,104-SDW JAM BOTTOM</t>
  </si>
  <si>
    <t>1705,1706-SDW JAM TOP</t>
  </si>
  <si>
    <t>1705,1706-SDW JAM BOTTOM</t>
  </si>
  <si>
    <t>12TH &amp; 13TH FLOOR</t>
  </si>
  <si>
    <t>LEDGE WALL-1202,1203,1205,1206,1305,1306</t>
  </si>
  <si>
    <t>NOS OF COAT</t>
  </si>
  <si>
    <t>701,702,703,801,802,803,901,902,903</t>
  </si>
  <si>
    <t>7TH,8TH,9TH FLOOR</t>
  </si>
  <si>
    <t>ADVAMEDIX</t>
  </si>
  <si>
    <t>UNIT/SQM</t>
  </si>
  <si>
    <t>704,804,904</t>
  </si>
  <si>
    <t>FLAT CEILING</t>
  </si>
  <si>
    <t>201, 202, 203, 301, 302, 303,
 401, 402, 403, 501, 502, 503,
 601, 602, 603, 701, 702, 703,
 801, 802, 803, 901, 902, 903,
 1001, 1002, 1003, 1101, 1102, 1103, 1201, 1202, 1203, 1301, 1302, 1303, 1401, 1402, 1403, 1501, 1502, 1503, 1601, 1602, 1603</t>
  </si>
  <si>
    <t>BALCONY CEILING</t>
  </si>
  <si>
    <t>2ND TO 16TH FLOOR</t>
  </si>
  <si>
    <t xml:space="preserve">
204, 304, 404, 504, 604,
 704, 804, 904, 1004, 1104,
 1204, 1304, 1404, 1504, 1604</t>
  </si>
  <si>
    <t>CEILING</t>
  </si>
  <si>
    <t xml:space="preserve">
2ND, 3RD, 4TH, 5TH, 6TH, 7TH, 8TH, 9TH, 10TH, 11TH, 13TH</t>
  </si>
  <si>
    <t>TEXTURE-WALL</t>
  </si>
  <si>
    <t>18TH, 17TH, 16TH, 15TH, 14TH, 13TH, 12TH FLOOR</t>
  </si>
  <si>
    <t>11TH, 10TH, 9TH, 8TH, 7TH, 6TH, 5TH, 4TH, 3RD, 2ND FLOOR</t>
  </si>
  <si>
    <t>STAIRCASE-01</t>
  </si>
  <si>
    <t>STAIRCASE-02</t>
  </si>
  <si>
    <t>DEAD WALL (FLAT SERIES-02)</t>
  </si>
  <si>
    <t>FLAT NO-02 SIDE</t>
  </si>
  <si>
    <t>STAIRCASE-02 (FOUNTAIN WALL)</t>
  </si>
  <si>
    <t>5TH TO 18TH FLOOR</t>
  </si>
  <si>
    <t>CENTER PODIUM</t>
  </si>
  <si>
    <t>BASEMENT FLOOR</t>
  </si>
  <si>
    <t>SOUTH SIDE</t>
  </si>
  <si>
    <t>NORTH SIDE</t>
  </si>
  <si>
    <t>EAST SIDE</t>
  </si>
  <si>
    <t>FUSTAL COURT</t>
  </si>
  <si>
    <t>TRAINER ROOM</t>
  </si>
  <si>
    <t>1ST FFL TO MUMTY TOP</t>
  </si>
  <si>
    <t>WALL</t>
  </si>
  <si>
    <t>2ND TO MUMTY TOP</t>
  </si>
  <si>
    <t>PARAPET WALL</t>
  </si>
  <si>
    <t>10TH,12TH,16TH FLOOR</t>
  </si>
  <si>
    <t>1001,1002,1003,1201,1601,1603</t>
  </si>
  <si>
    <t>1004,1604</t>
  </si>
  <si>
    <t>10TH,16TH FLOOR</t>
  </si>
  <si>
    <r>
      <t>C TYPE OUTER CORRIDOR</t>
    </r>
    <r>
      <rPr>
        <sz val="11"/>
        <color theme="1"/>
        <rFont val="Times New Roman"/>
        <family val="1"/>
      </rPr>
      <t xml:space="preserve"> (FLAT SERIES-01,04)</t>
    </r>
  </si>
  <si>
    <t>CORRIDOR-CUTOUT BEAM</t>
  </si>
  <si>
    <t>19TH FLOOR</t>
  </si>
  <si>
    <t>4TH TO 16TH FLOOR</t>
  </si>
  <si>
    <r>
      <t>C TYPE OUTER CORRIDOR</t>
    </r>
    <r>
      <rPr>
        <sz val="11"/>
        <color theme="1"/>
        <rFont val="Times New Roman"/>
        <family val="1"/>
      </rPr>
      <t xml:space="preserve"> (FLAT SERIES-02,03)</t>
    </r>
  </si>
  <si>
    <r>
      <t xml:space="preserve">C TYPE OUTER CHAJJA  </t>
    </r>
    <r>
      <rPr>
        <sz val="11"/>
        <color theme="1"/>
        <rFont val="Times New Roman"/>
        <family val="1"/>
      </rPr>
      <t xml:space="preserve"> (FLAT SERIES-02,03)</t>
    </r>
  </si>
  <si>
    <t>1302/1303,1305/1306</t>
  </si>
  <si>
    <t>PODIUM</t>
  </si>
  <si>
    <t>NEW ARTS &amp; INTERIA</t>
  </si>
  <si>
    <t>1101,1102,1103,1104</t>
  </si>
  <si>
    <t>1202</t>
  </si>
  <si>
    <t>1301,1302,1303</t>
  </si>
  <si>
    <t>1401,1402,1403,1404</t>
  </si>
  <si>
    <t>SK TRADING &amp; CONSTRUCTION</t>
  </si>
  <si>
    <t>1001,1002</t>
  </si>
  <si>
    <t>1005/1006</t>
  </si>
  <si>
    <t>BALCONY TEXTURE-WALL</t>
  </si>
  <si>
    <t>6TH TO 11TH FLOOR</t>
  </si>
  <si>
    <r>
      <t>C TYPE OUTER CORRIDOR</t>
    </r>
    <r>
      <rPr>
        <sz val="11"/>
        <color theme="1"/>
        <rFont val="Times New Roman"/>
        <family val="1"/>
      </rPr>
      <t xml:space="preserve"> (FLAT SERIES-03,04)</t>
    </r>
  </si>
  <si>
    <t>AHL</t>
  </si>
  <si>
    <t>10TH,12TH FLOOR</t>
  </si>
  <si>
    <t>1001,1002,1003,1201</t>
  </si>
  <si>
    <r>
      <t xml:space="preserve">C TYPE OUTER CHAJJA  </t>
    </r>
    <r>
      <rPr>
        <sz val="11"/>
        <color theme="1"/>
        <rFont val="Times New Roman"/>
        <family val="1"/>
      </rPr>
      <t xml:space="preserve"> (FLAT SERIES-01,04)</t>
    </r>
  </si>
  <si>
    <t>3RD TO 16TH FLOOR</t>
  </si>
  <si>
    <t>701,702,703,801,802,803,901,902,903,1001,1002,1003,1201</t>
  </si>
  <si>
    <t>BATHROOM</t>
  </si>
  <si>
    <t>7TH,8TH,9TH,10TH FLOOR</t>
  </si>
  <si>
    <t>7TH,8TH,9TH,10TH,12TH FLOOR</t>
  </si>
  <si>
    <t>704,804,904,1004</t>
  </si>
  <si>
    <t>HELPER ROOM WALL</t>
  </si>
  <si>
    <t>HELPER ROOM</t>
  </si>
  <si>
    <t>701,702,703,801,802,803,901,902,903,1001,1002,1003</t>
  </si>
  <si>
    <t>701,802,902</t>
  </si>
  <si>
    <t>302</t>
  </si>
  <si>
    <t>303</t>
  </si>
  <si>
    <t>1302/1303</t>
  </si>
  <si>
    <t xml:space="preserve">MUMTY </t>
  </si>
  <si>
    <t>TOWER A,B</t>
  </si>
  <si>
    <t>PARKING</t>
  </si>
  <si>
    <t>OFFICE FLOOR</t>
  </si>
  <si>
    <t>OFFICE FLOOR ROUND WALL</t>
  </si>
  <si>
    <t>FALSE CEILING</t>
  </si>
  <si>
    <t>INTERNAL TOUCHUP</t>
  </si>
  <si>
    <t>ALL FLOOR</t>
  </si>
  <si>
    <t>CORRIDOR-DEPARTMENT WORK</t>
  </si>
  <si>
    <t>DEPARTMENT BILL</t>
  </si>
  <si>
    <t>FINAL</t>
  </si>
  <si>
    <t>RA-18</t>
  </si>
  <si>
    <t>HJ HOSPITAL</t>
  </si>
  <si>
    <t>CT SCAN,CT SCAN CONSOLE,DOCTOR ROOM,ETC (AS PER ATTACHED DWG)</t>
  </si>
  <si>
    <t>FLAT WALL</t>
  </si>
  <si>
    <t>1601,1603</t>
  </si>
  <si>
    <t>1604</t>
  </si>
  <si>
    <t>1ST,2ND,3RD,5TH,6TH,7TH,8TH,10TH,11TH,12TH,13TH,14TH,15TH,16TH FLOOR</t>
  </si>
  <si>
    <t>101,102,201,202,203,301,302,303,501,502,503,601,602,603,701,702,703,801,802,803,1001,1002,1003,1101,1102,1103,1201,1202,1203,1301,1302,1303,1401,1402,1403,1501,1502,1503,1601,1602,1603</t>
  </si>
  <si>
    <t>MNIC COLOUR ASSOCIATES</t>
  </si>
  <si>
    <t>101,102,201,202,203,301,302,303,501,502,503,601,602,603,701,702,703,801,802,803,1101,1102,1103,1201,1202,1203,1301,1302,1303,1401,1402,1403,1501,1502,1503,1601,1602,1603</t>
  </si>
  <si>
    <t>6TH,7TH,8TH,10TH,11TH,12TH,13TH,14TH,15TH,16TH FLOOR</t>
  </si>
  <si>
    <t>601,602,603,701,702,703,801,802,803,1001,1002,1003,1101,1102,1103,1201,1202,1203,1301,1302,1303,1401,1402,1403,1501,1502,1503,1601,1602,1603</t>
  </si>
  <si>
    <t>FOUNTAIN WALL REWORK</t>
  </si>
  <si>
    <r>
      <t xml:space="preserve">BALCONY TEXTURE-WALL </t>
    </r>
    <r>
      <rPr>
        <sz val="11"/>
        <color rgb="FFFF0000"/>
        <rFont val="Times New Roman"/>
        <family val="1"/>
      </rPr>
      <t>(FOUNTAIN WALL REWORK)</t>
    </r>
  </si>
  <si>
    <t>3RD,5TH,7TH,8TH FLOOR</t>
  </si>
  <si>
    <t>301,502,701,702,706,801,802</t>
  </si>
  <si>
    <t>304,503,504,703,704,705,803,804</t>
  </si>
  <si>
    <t>1ST TO TERRACE FLOOR</t>
  </si>
  <si>
    <t>ST-02 (SWIMMING POOL SIDE)</t>
  </si>
  <si>
    <t>11TH FLOOR TO 18TH FLOOR</t>
  </si>
  <si>
    <t>2ND FLOOR TO 10TH FLOOR</t>
  </si>
  <si>
    <t>11TH FLOOR TO TERRACE FLOOR</t>
  </si>
  <si>
    <t>701,702,703,704,705,706</t>
  </si>
  <si>
    <t>801,802,803,804,805,806</t>
  </si>
  <si>
    <t>1501,1502,1503,1504,1505,1506</t>
  </si>
  <si>
    <t>BALCONY TEXTURE -BEAM</t>
  </si>
  <si>
    <t>2ND FLOOR TO TERRACE FLOOR</t>
  </si>
  <si>
    <t>SERIES 03 FOUNTAIN JAM</t>
  </si>
  <si>
    <t>350 MM FRONT JAM</t>
  </si>
  <si>
    <t>2ND FLOOR TO 18TH FLOOR</t>
  </si>
  <si>
    <t>SERIES 01 FOUNTAIN JAM</t>
  </si>
  <si>
    <t>FOUNTAIN 350 MM FRONT JAM TEXTURE</t>
  </si>
  <si>
    <t>SERIES 02 FOUNTAIN JAM</t>
  </si>
  <si>
    <t>3RD,5TH,7TH,9TH,11TH,13TH,15TH,17TH,18TH FLOOR</t>
  </si>
  <si>
    <t>TOWER C,D</t>
  </si>
  <si>
    <t>RA-25</t>
  </si>
  <si>
    <t>3RD,5TH FLOOR</t>
  </si>
  <si>
    <t>RA-26</t>
  </si>
  <si>
    <t>304</t>
  </si>
  <si>
    <t>RA-28</t>
  </si>
  <si>
    <t>WAITING FOR SITE CHECKING</t>
  </si>
  <si>
    <t>13TH FLOOR (PENTHOUSE )</t>
  </si>
  <si>
    <t>BATROOM</t>
  </si>
  <si>
    <t xml:space="preserve">3RD FLOOR 13TH FLOOR </t>
  </si>
  <si>
    <t>302,303,1301,1304</t>
  </si>
  <si>
    <t>RA-26 RA-29</t>
  </si>
  <si>
    <t>RA-08 RA-24</t>
  </si>
  <si>
    <t>RA-08 RA-29</t>
  </si>
  <si>
    <t>RA-13 RA-29</t>
  </si>
  <si>
    <t xml:space="preserve">BMS ROOM CT SCAN CONSOLE MRI </t>
  </si>
  <si>
    <t>RA-23</t>
  </si>
  <si>
    <t>WALL PAINT</t>
  </si>
  <si>
    <t>HJ DIRECTION</t>
  </si>
  <si>
    <t>RA-02,RA-31</t>
  </si>
  <si>
    <t>TOWER A +REWORK-419.32</t>
  </si>
  <si>
    <t>RA-31</t>
  </si>
  <si>
    <t xml:space="preserve">GYPSUM CEILLING </t>
  </si>
  <si>
    <t>REWORK-21.81SQM</t>
  </si>
  <si>
    <t>RAMP CEILING CONCRETE NEAR ELECTRIC ROOM</t>
  </si>
  <si>
    <t>RAMP</t>
  </si>
  <si>
    <t>RA-30</t>
  </si>
  <si>
    <t>7TH,8TH,9TH 10TH  FLOOR</t>
  </si>
  <si>
    <t>703,801,803,901,903,1001,1002,1003</t>
  </si>
  <si>
    <t xml:space="preserve">LAST 1 FINAL COAT IN THIS BILL </t>
  </si>
  <si>
    <t>7TH,8TH,9TH 10TH FLOOR</t>
  </si>
  <si>
    <t xml:space="preserve">1C PRIMER+2 C PAINT </t>
  </si>
  <si>
    <t>1601,1603,-2C PUTTY</t>
  </si>
  <si>
    <t>5TH ,7TH,8TH,9TH,10TH,</t>
  </si>
  <si>
    <t xml:space="preserve">501 703 803 901 903 1001 1002 1003 </t>
  </si>
  <si>
    <t>3BHK -2C PUTTY+1C PRIMER+1C PAINT</t>
  </si>
  <si>
    <t>,7TH,8TH,9TH,10TH,</t>
  </si>
  <si>
    <t>2BHK -2C PUTTY+1C PRIMER+1C PAINT</t>
  </si>
  <si>
    <t>RA-26 RA-29 RA-32</t>
  </si>
  <si>
    <t>302,303,501(5) 1304</t>
  </si>
  <si>
    <t>302,303,1304</t>
  </si>
  <si>
    <t xml:space="preserve">TOWER B </t>
  </si>
  <si>
    <t>RA-33</t>
  </si>
  <si>
    <t>BATROOM CEILLING</t>
  </si>
  <si>
    <t>16TH,4TH</t>
  </si>
  <si>
    <t>4TH</t>
  </si>
  <si>
    <t>FLAT CEILING,</t>
  </si>
  <si>
    <t>BATHROOM CEILING</t>
  </si>
  <si>
    <t>401,1601,1603</t>
  </si>
  <si>
    <t>FLAT BATHROOM CEILING</t>
  </si>
  <si>
    <t>8TH 9TH 10TH 16TH</t>
  </si>
  <si>
    <t>803,901,903,1001,1002.1003,1601,1603</t>
  </si>
  <si>
    <t>9TH 10TH 16TH</t>
  </si>
  <si>
    <t>904,1004,1604</t>
  </si>
  <si>
    <t>RA-19 RA-30 RA-33</t>
  </si>
  <si>
    <t xml:space="preserve">CENTRE PODIUM </t>
  </si>
  <si>
    <t>RA-34</t>
  </si>
  <si>
    <t xml:space="preserve">2COAT PUTTY </t>
  </si>
  <si>
    <t>SLAB BOTTOM</t>
  </si>
  <si>
    <t>4 COAT DONE MCC</t>
  </si>
  <si>
    <t xml:space="preserve">PUMPING  ROOM </t>
  </si>
  <si>
    <t xml:space="preserve">2COAT PUTTY MCC  </t>
  </si>
  <si>
    <t xml:space="preserve">METAL WALL </t>
  </si>
  <si>
    <t>HJ FOUNDATION</t>
  </si>
  <si>
    <t>TEMPARY WALL</t>
  </si>
  <si>
    <t xml:space="preserve">FIRST FLOOR </t>
  </si>
  <si>
    <t xml:space="preserve">HJ HOSPITAL </t>
  </si>
  <si>
    <t>PASSAGE WALL,CEILING</t>
  </si>
  <si>
    <t xml:space="preserve">MEDICAL GAS RM,SEMEN RM,ANDRLOGY RM,OPD </t>
  </si>
  <si>
    <t>RA-36</t>
  </si>
  <si>
    <t>CONRETE CEILING</t>
  </si>
  <si>
    <t>GYPSUM CEILING</t>
  </si>
  <si>
    <t>BASEMENT TO 18TH</t>
  </si>
  <si>
    <t>ST02</t>
  </si>
  <si>
    <t>RA-37</t>
  </si>
  <si>
    <t>3RD TO 16TH, 17TH TO TERRACE</t>
  </si>
  <si>
    <t>BALCONY WALL</t>
  </si>
  <si>
    <t>RA-38</t>
  </si>
  <si>
    <t>RA-39</t>
  </si>
  <si>
    <t>RA-41</t>
  </si>
  <si>
    <t>OFFICE FLOOR CEILING</t>
  </si>
  <si>
    <t>SERVICE FLOOR</t>
  </si>
  <si>
    <t>8,9 &amp; 12</t>
  </si>
  <si>
    <t>RA-42</t>
  </si>
  <si>
    <t>1,2,4,5,6,8,9,12</t>
  </si>
  <si>
    <t>LOBBY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</si>
</sst>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4" fontId="2" fillId="5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hra\d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ratape%20L%20N/Saratape%20L%20N/Invoice/Pune%20Invoices/Documents%20and%20Settings/SCE/Local%20Settings/Temp/wzc5b5/TENDER%202-Akluj+Barshi+SHP-R+SHP-U-170108/Lot%20No.04-Dt%2009.09.07/amit/MERC/sagar%20JE/SUBMEN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ish\Price%20Variation\Documents%20and%20Settings\Administrator\Local%20Settings\Temporary%20Internet%20Files\Content.Outlook\F54FSETL\Copy%20of%20PVC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ish\Price%20Variation\Documents%20and%20Settings\user\Desktop\Copy%20of%20INVOICE%20Copy%20of%20Jalgaon%20Neur-JM%20New%20-%20A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52B8BD\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illing/RA%2004%20T-54%20CIVIL/RA%2004/Invoice/Billing/Rabale/Rabale%20Client%20Billing/JMC/Working/11032015/20-02-2015/FINAL%20Cost%20Data%2025.06.20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IPDS%20Projects/T-23%20Amaravati%20IPDS%20Project/PV%20Summary%20IPDS%20T-23%20Dtd.%2019.04.20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aratape%20L%20N/Personal/T-143%20Capital%20Power/IP_LD/T-143%20IPLD%2029.12.2015/MSEDCL/Progress%20Reports%20010310/SPR/Documents%20and%20Settings/Unison/Desktop/FOR%20PRINT/Identification/Udgir%20220707/coding_of_activity_revised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ost%20Data%2030.07.08\cost%20data%20as%20per%20audited%20CPA%20rates%20as%20on%20%2030.07.0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drive020109\Patole%20sir\LAS%20IP%20_%20II_IIA\LAS%20I_II_II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aratape%20L%20N/Personal/T-143%20Capital%20Power/IP_LD/T-143%20IPLD%2029.12.2015/Store%20Register/Store%20Register%20%20Of%20Shewalwadi%20as%2016.3..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4572342\SUBMENU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hra\D\Documents%20and%20Settings\devesh\Local%20Settings\Temporary%20Internet%20Files\Content.IE5\P5MZXHTZ\620-steel+BN%20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E(IP)\sagar%20JE\New\Statement\Statement%202%20Average%20Sale%20ing%20Price\amit\MERC\sagar%20JE\SUBMENU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RA-13B-Civil%20Dassera%20Maidan%2026.11.2019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ish\price%20variation\kopargaon\4th%20%20lot%2015%20DTC\MKTG\BKS\APDRP-PO-al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42\QC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EDWise"/>
      <sheetName val="04REL"/>
      <sheetName val="STN WISE EM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LGAON NEUR INVOICE (2)"/>
      <sheetName val="Sheet4"/>
      <sheetName val="CAL1"/>
    </sheetNames>
    <sheetDataSet>
      <sheetData sheetId="0"/>
      <sheetData sheetId="1"/>
      <sheetData sheetId="2">
        <row r="3">
          <cell r="R3">
            <v>1</v>
          </cell>
          <cell r="S3" t="str">
            <v>One</v>
          </cell>
        </row>
        <row r="4">
          <cell r="R4">
            <v>2</v>
          </cell>
          <cell r="S4" t="str">
            <v>Two</v>
          </cell>
        </row>
        <row r="5">
          <cell r="R5">
            <v>3</v>
          </cell>
          <cell r="S5" t="str">
            <v>Three</v>
          </cell>
        </row>
        <row r="6">
          <cell r="R6">
            <v>4</v>
          </cell>
          <cell r="S6" t="str">
            <v>Four</v>
          </cell>
        </row>
        <row r="7">
          <cell r="R7">
            <v>5</v>
          </cell>
          <cell r="S7" t="str">
            <v>Five</v>
          </cell>
        </row>
        <row r="8">
          <cell r="R8">
            <v>6</v>
          </cell>
          <cell r="S8" t="str">
            <v>Six</v>
          </cell>
        </row>
        <row r="9">
          <cell r="R9">
            <v>7</v>
          </cell>
          <cell r="S9" t="str">
            <v>Seven</v>
          </cell>
        </row>
        <row r="10">
          <cell r="R10">
            <v>8</v>
          </cell>
          <cell r="S10" t="str">
            <v>Eight</v>
          </cell>
        </row>
        <row r="11">
          <cell r="R11">
            <v>9</v>
          </cell>
          <cell r="S11" t="str">
            <v>Nine</v>
          </cell>
        </row>
        <row r="12">
          <cell r="R12">
            <v>10</v>
          </cell>
          <cell r="S12" t="str">
            <v>Ten</v>
          </cell>
        </row>
        <row r="13">
          <cell r="R13">
            <v>11</v>
          </cell>
          <cell r="S13" t="str">
            <v>Eleven</v>
          </cell>
        </row>
        <row r="14">
          <cell r="R14">
            <v>12</v>
          </cell>
          <cell r="S14" t="str">
            <v>Twelve</v>
          </cell>
        </row>
        <row r="15">
          <cell r="R15">
            <v>13</v>
          </cell>
          <cell r="S15" t="str">
            <v>Thirteen</v>
          </cell>
        </row>
        <row r="16">
          <cell r="R16">
            <v>14</v>
          </cell>
          <cell r="S16" t="str">
            <v>Fourteen</v>
          </cell>
        </row>
        <row r="17">
          <cell r="R17">
            <v>15</v>
          </cell>
          <cell r="S17" t="str">
            <v>Fifteen</v>
          </cell>
        </row>
        <row r="18">
          <cell r="R18">
            <v>16</v>
          </cell>
          <cell r="S18" t="str">
            <v>Sixteen</v>
          </cell>
        </row>
        <row r="19">
          <cell r="R19">
            <v>17</v>
          </cell>
          <cell r="S19" t="str">
            <v>Seventeen</v>
          </cell>
        </row>
        <row r="20">
          <cell r="R20">
            <v>18</v>
          </cell>
          <cell r="S20" t="str">
            <v>Eighteen</v>
          </cell>
        </row>
        <row r="21">
          <cell r="R21">
            <v>19</v>
          </cell>
          <cell r="S21" t="str">
            <v>Nineteen</v>
          </cell>
        </row>
        <row r="22">
          <cell r="R22">
            <v>20</v>
          </cell>
          <cell r="S22" t="str">
            <v>Twenty</v>
          </cell>
        </row>
        <row r="23">
          <cell r="R23">
            <v>30</v>
          </cell>
          <cell r="S23" t="str">
            <v>Thirty</v>
          </cell>
        </row>
        <row r="24">
          <cell r="R24">
            <v>40</v>
          </cell>
          <cell r="S24" t="str">
            <v>Forty</v>
          </cell>
        </row>
        <row r="25">
          <cell r="R25">
            <v>50</v>
          </cell>
          <cell r="S25" t="str">
            <v>Fifty</v>
          </cell>
        </row>
        <row r="26">
          <cell r="R26">
            <v>60</v>
          </cell>
          <cell r="S26" t="str">
            <v>Sixty</v>
          </cell>
        </row>
        <row r="27">
          <cell r="R27">
            <v>70</v>
          </cell>
          <cell r="S27" t="str">
            <v>Seventy</v>
          </cell>
        </row>
        <row r="28">
          <cell r="R28">
            <v>80</v>
          </cell>
          <cell r="S28" t="str">
            <v>Eighty</v>
          </cell>
        </row>
        <row r="29">
          <cell r="R29">
            <v>90</v>
          </cell>
          <cell r="S29" t="str">
            <v>Ninety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LGAON NEUR INVOICE"/>
      <sheetName val="JALGAON NEUR INVOICE (2)"/>
      <sheetName val="JALGAON NEUR PIVOT"/>
      <sheetName val="JALGAON NEUR  WORK "/>
      <sheetName val="Sheet1"/>
      <sheetName val="Jalgaon Neur Work "/>
      <sheetName val="J &amp; N  WORKING"/>
      <sheetName val="J &amp; N FIN WORK"/>
      <sheetName val="JALGAON NEUR"/>
      <sheetName val="CA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R3">
            <v>1</v>
          </cell>
          <cell r="S3" t="str">
            <v>One</v>
          </cell>
        </row>
        <row r="4">
          <cell r="R4">
            <v>2</v>
          </cell>
          <cell r="S4" t="str">
            <v>Two</v>
          </cell>
        </row>
        <row r="5">
          <cell r="R5">
            <v>3</v>
          </cell>
          <cell r="S5" t="str">
            <v>Three</v>
          </cell>
        </row>
        <row r="6">
          <cell r="R6">
            <v>4</v>
          </cell>
          <cell r="S6" t="str">
            <v>Four</v>
          </cell>
        </row>
        <row r="7">
          <cell r="R7">
            <v>5</v>
          </cell>
          <cell r="S7" t="str">
            <v>Five</v>
          </cell>
        </row>
        <row r="8">
          <cell r="R8">
            <v>6</v>
          </cell>
          <cell r="S8" t="str">
            <v>Six</v>
          </cell>
        </row>
        <row r="9">
          <cell r="R9">
            <v>7</v>
          </cell>
          <cell r="S9" t="str">
            <v>Seven</v>
          </cell>
        </row>
        <row r="10">
          <cell r="R10">
            <v>8</v>
          </cell>
          <cell r="S10" t="str">
            <v>Eight</v>
          </cell>
        </row>
        <row r="11">
          <cell r="R11">
            <v>9</v>
          </cell>
          <cell r="S11" t="str">
            <v>Nine</v>
          </cell>
        </row>
        <row r="12">
          <cell r="R12">
            <v>10</v>
          </cell>
          <cell r="S12" t="str">
            <v>Ten</v>
          </cell>
        </row>
        <row r="13">
          <cell r="R13">
            <v>11</v>
          </cell>
          <cell r="S13" t="str">
            <v>Eleven</v>
          </cell>
        </row>
        <row r="14">
          <cell r="R14">
            <v>12</v>
          </cell>
          <cell r="S14" t="str">
            <v>Twelve</v>
          </cell>
        </row>
        <row r="15">
          <cell r="R15">
            <v>13</v>
          </cell>
          <cell r="S15" t="str">
            <v>Thirteen</v>
          </cell>
        </row>
        <row r="16">
          <cell r="R16">
            <v>14</v>
          </cell>
          <cell r="S16" t="str">
            <v>Fourteen</v>
          </cell>
        </row>
        <row r="17">
          <cell r="R17">
            <v>15</v>
          </cell>
          <cell r="S17" t="str">
            <v>Fifteen</v>
          </cell>
        </row>
        <row r="18">
          <cell r="R18">
            <v>16</v>
          </cell>
          <cell r="S18" t="str">
            <v>Sixteen</v>
          </cell>
        </row>
        <row r="19">
          <cell r="R19">
            <v>17</v>
          </cell>
          <cell r="S19" t="str">
            <v>Seventeen</v>
          </cell>
        </row>
        <row r="20">
          <cell r="R20">
            <v>18</v>
          </cell>
          <cell r="S20" t="str">
            <v>Eighteen</v>
          </cell>
        </row>
        <row r="21">
          <cell r="R21">
            <v>19</v>
          </cell>
          <cell r="S21" t="str">
            <v>Nineteen</v>
          </cell>
        </row>
        <row r="22">
          <cell r="R22">
            <v>20</v>
          </cell>
          <cell r="S22" t="str">
            <v>Twenty</v>
          </cell>
        </row>
        <row r="23">
          <cell r="R23">
            <v>30</v>
          </cell>
          <cell r="S23" t="str">
            <v>Thirty</v>
          </cell>
        </row>
        <row r="24">
          <cell r="R24">
            <v>40</v>
          </cell>
          <cell r="S24" t="str">
            <v>Forty</v>
          </cell>
        </row>
        <row r="25">
          <cell r="R25">
            <v>50</v>
          </cell>
          <cell r="S25" t="str">
            <v>Fifty</v>
          </cell>
        </row>
        <row r="26">
          <cell r="R26">
            <v>60</v>
          </cell>
          <cell r="S26" t="str">
            <v>Sixty</v>
          </cell>
        </row>
        <row r="27">
          <cell r="R27">
            <v>70</v>
          </cell>
          <cell r="S27" t="str">
            <v>Seventy</v>
          </cell>
        </row>
        <row r="28">
          <cell r="R28">
            <v>80</v>
          </cell>
          <cell r="S28" t="str">
            <v>Eighty</v>
          </cell>
        </row>
        <row r="29">
          <cell r="R29">
            <v>90</v>
          </cell>
          <cell r="S29" t="str">
            <v>Ninety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nectors"/>
      <sheetName val="COST DATA 12-13"/>
      <sheetName val="Index above 40 Crs."/>
      <sheetName val="Note"/>
      <sheetName val="Data base 12-13 back Jan 10"/>
      <sheetName val="notes"/>
      <sheetName val="Line formulas"/>
      <sheetName val="Overheads"/>
      <sheetName val="Table A-K for Civil works"/>
      <sheetName val="COST DATA10-11"/>
      <sheetName val="Committee 11-12"/>
      <sheetName val="RSJ COst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TC WITH CSP 22KV"/>
      <sheetName val="DTC WITH CSP 11KV"/>
      <sheetName val="Index below 40 Crs.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NAME OF MATERIAL</v>
          </cell>
          <cell r="C1" t="str">
            <v>UNIT</v>
          </cell>
          <cell r="D1" t="str">
            <v xml:space="preserve">UPDATED </v>
          </cell>
          <cell r="E1" t="str">
            <v>Excise duty</v>
          </cell>
          <cell r="F1" t="str">
            <v xml:space="preserve">RATE  IN  RS. </v>
          </cell>
        </row>
        <row r="2">
          <cell r="D2" t="str">
            <v>Ex-Works</v>
          </cell>
          <cell r="E2" t="str">
            <v>Amount @</v>
          </cell>
          <cell r="F2" t="str">
            <v>(as on May 2013)</v>
          </cell>
        </row>
        <row r="3">
          <cell r="D3" t="str">
            <v>Price</v>
          </cell>
          <cell r="E3" t="str">
            <v>12.36 % in Rs.</v>
          </cell>
        </row>
        <row r="5">
          <cell r="B5" t="str">
            <v>GROUP - XI</v>
          </cell>
          <cell r="E5">
            <v>12.36</v>
          </cell>
        </row>
        <row r="6">
          <cell r="B6" t="str">
            <v>33 kV Pin Insulators with G.I. Pins</v>
          </cell>
          <cell r="C6" t="str">
            <v>No</v>
          </cell>
          <cell r="D6">
            <v>612.28</v>
          </cell>
          <cell r="E6">
            <v>75.677807999999985</v>
          </cell>
          <cell r="F6">
            <v>687.957808</v>
          </cell>
          <cell r="H6" t="str">
            <v>$</v>
          </cell>
        </row>
        <row r="7">
          <cell r="B7" t="str">
            <v>22 kV Pin Insulators with G.I. Pins</v>
          </cell>
          <cell r="C7" t="str">
            <v>No</v>
          </cell>
          <cell r="D7">
            <v>321.56</v>
          </cell>
          <cell r="E7">
            <v>39.744815999999993</v>
          </cell>
          <cell r="F7">
            <v>361.30481600000002</v>
          </cell>
          <cell r="H7" t="str">
            <v>$</v>
          </cell>
        </row>
        <row r="8">
          <cell r="B8" t="str">
            <v>11 kV Pin Insulators with G.I. Pins</v>
          </cell>
          <cell r="C8" t="str">
            <v>No</v>
          </cell>
          <cell r="D8">
            <v>110.48</v>
          </cell>
          <cell r="E8">
            <v>13.655327999999999</v>
          </cell>
          <cell r="F8">
            <v>124.135328</v>
          </cell>
          <cell r="H8" t="str">
            <v>$</v>
          </cell>
        </row>
        <row r="9">
          <cell r="B9" t="str">
            <v>Antifog type Disc.Insulators 7000 Kg.for highly polluted area</v>
          </cell>
          <cell r="C9" t="str">
            <v>Nos</v>
          </cell>
          <cell r="D9">
            <v>596.70000000000005</v>
          </cell>
          <cell r="E9">
            <v>73.752120000000005</v>
          </cell>
          <cell r="F9">
            <v>670.45212000000004</v>
          </cell>
          <cell r="H9" t="str">
            <v>$</v>
          </cell>
        </row>
        <row r="10">
          <cell r="B10" t="str">
            <v>Disc Insulator 11 KV 7000 KG.</v>
          </cell>
          <cell r="C10" t="str">
            <v>Nos</v>
          </cell>
          <cell r="D10">
            <v>178.67</v>
          </cell>
          <cell r="E10">
            <v>22.083611999999995</v>
          </cell>
          <cell r="F10">
            <v>200.75361199999998</v>
          </cell>
          <cell r="H10" t="str">
            <v>$</v>
          </cell>
        </row>
        <row r="11">
          <cell r="B11" t="str">
            <v>Disc Insulator 11 KV 4500 KG.</v>
          </cell>
          <cell r="C11" t="str">
            <v>Nos</v>
          </cell>
          <cell r="D11">
            <v>169.74</v>
          </cell>
          <cell r="E11">
            <v>20.979863999999999</v>
          </cell>
          <cell r="F11">
            <v>190.719864</v>
          </cell>
          <cell r="H11" t="str">
            <v>$</v>
          </cell>
        </row>
        <row r="12">
          <cell r="B12" t="str">
            <v>L.T.Shackle Insulator</v>
          </cell>
          <cell r="C12" t="str">
            <v>Nos</v>
          </cell>
          <cell r="D12">
            <v>8.7889999999999997</v>
          </cell>
          <cell r="E12">
            <v>1.0863204</v>
          </cell>
          <cell r="F12">
            <v>9.8753203999999997</v>
          </cell>
          <cell r="H12" t="str">
            <v>$</v>
          </cell>
        </row>
        <row r="13">
          <cell r="B13" t="str">
            <v>L.T.Shackle hardware</v>
          </cell>
          <cell r="C13" t="str">
            <v>Pair</v>
          </cell>
          <cell r="D13">
            <v>25.57</v>
          </cell>
          <cell r="E13">
            <v>3.1604519999999998</v>
          </cell>
          <cell r="F13">
            <v>28.730452</v>
          </cell>
          <cell r="H13" t="str">
            <v>$</v>
          </cell>
        </row>
        <row r="14">
          <cell r="B14" t="str">
            <v>Stay Insulators</v>
          </cell>
          <cell r="C14" t="str">
            <v>No</v>
          </cell>
          <cell r="D14">
            <v>8.57</v>
          </cell>
          <cell r="E14">
            <v>1.0592519999999999</v>
          </cell>
          <cell r="F14">
            <v>9.629252000000001</v>
          </cell>
          <cell r="H14" t="str">
            <v>$</v>
          </cell>
        </row>
        <row r="15">
          <cell r="B15" t="str">
            <v>H.T.Stay Set</v>
          </cell>
          <cell r="C15" t="str">
            <v>Set</v>
          </cell>
          <cell r="D15">
            <v>439.87</v>
          </cell>
          <cell r="E15">
            <v>54.367931999999996</v>
          </cell>
          <cell r="F15">
            <v>543.66172519999998</v>
          </cell>
          <cell r="H15" t="str">
            <v>$</v>
          </cell>
        </row>
        <row r="16">
          <cell r="B16" t="str">
            <v>L.T. Stay sets</v>
          </cell>
          <cell r="C16" t="str">
            <v>Set</v>
          </cell>
          <cell r="D16">
            <v>347.03</v>
          </cell>
          <cell r="E16">
            <v>42.892907999999991</v>
          </cell>
          <cell r="F16">
            <v>428.91519879999998</v>
          </cell>
          <cell r="H16" t="str">
            <v>$</v>
          </cell>
        </row>
        <row r="17">
          <cell r="B17" t="str">
            <v>Earthing Sets H.T</v>
          </cell>
          <cell r="C17" t="str">
            <v>Set</v>
          </cell>
          <cell r="D17">
            <v>284.43799999999999</v>
          </cell>
          <cell r="E17">
            <v>35.156536799999998</v>
          </cell>
          <cell r="F17">
            <v>319.59453680000001</v>
          </cell>
          <cell r="H17" t="str">
            <v>$</v>
          </cell>
        </row>
        <row r="18">
          <cell r="B18" t="str">
            <v>Earthing Sets L.T.</v>
          </cell>
          <cell r="C18" t="str">
            <v>Set</v>
          </cell>
          <cell r="D18">
            <v>137.81900000000002</v>
          </cell>
          <cell r="E18">
            <v>17.034428399999999</v>
          </cell>
          <cell r="F18">
            <v>154.85342840000001</v>
          </cell>
          <cell r="H18" t="str">
            <v>$</v>
          </cell>
        </row>
        <row r="19">
          <cell r="B19" t="str">
            <v>W.P.Wire 10 mm2 T/C 1100 V Grade</v>
          </cell>
          <cell r="C19" t="str">
            <v>Coil</v>
          </cell>
          <cell r="D19">
            <v>1512.28</v>
          </cell>
          <cell r="E19">
            <v>186.91780799999998</v>
          </cell>
          <cell r="F19">
            <v>1699.1978079999999</v>
          </cell>
          <cell r="H19" t="str">
            <v>$</v>
          </cell>
        </row>
        <row r="20">
          <cell r="B20" t="str">
            <v>do-         4 mm2 T/C 1100 V Grade</v>
          </cell>
          <cell r="C20" t="str">
            <v>Coil</v>
          </cell>
          <cell r="D20">
            <v>744.11</v>
          </cell>
          <cell r="E20">
            <v>91.97199599999999</v>
          </cell>
          <cell r="F20">
            <v>836.081996</v>
          </cell>
          <cell r="H20" t="str">
            <v>$</v>
          </cell>
        </row>
        <row r="21">
          <cell r="B21" t="str">
            <v>do-       2.5 mm2 T/C 1100 V Grade</v>
          </cell>
          <cell r="C21" t="str">
            <v>Coil</v>
          </cell>
          <cell r="D21">
            <v>459.98</v>
          </cell>
          <cell r="E21">
            <v>56.853527999999997</v>
          </cell>
          <cell r="F21">
            <v>516.833528</v>
          </cell>
          <cell r="H21" t="str">
            <v>$</v>
          </cell>
        </row>
        <row r="22">
          <cell r="B22" t="str">
            <v>do-       1.5 mm2 T/C 1100 V Grade</v>
          </cell>
          <cell r="C22" t="str">
            <v>Coil</v>
          </cell>
          <cell r="D22">
            <v>330.32</v>
          </cell>
          <cell r="E22">
            <v>40.827551999999997</v>
          </cell>
          <cell r="F22">
            <v>371.14755200000002</v>
          </cell>
          <cell r="H22" t="str">
            <v>$</v>
          </cell>
        </row>
        <row r="23">
          <cell r="B23" t="str">
            <v>L.T. PVC armoured cable 3 1/2 C 50 sq.mm.</v>
          </cell>
          <cell r="C23" t="str">
            <v>RMT</v>
          </cell>
          <cell r="D23">
            <v>128.24617000000001</v>
          </cell>
          <cell r="E23">
            <v>15.851226612</v>
          </cell>
          <cell r="F23">
            <v>144.09739661200001</v>
          </cell>
          <cell r="H23" t="str">
            <v>$</v>
          </cell>
        </row>
        <row r="24">
          <cell r="B24" t="str">
            <v>L.T. PVC armoured cable 3 1/2 C 35 sq.mm.</v>
          </cell>
          <cell r="C24" t="str">
            <v>RMT</v>
          </cell>
          <cell r="D24">
            <v>97.319890000000001</v>
          </cell>
          <cell r="E24">
            <v>12.028738403999998</v>
          </cell>
          <cell r="F24">
            <v>109.348628404</v>
          </cell>
          <cell r="H24" t="str">
            <v>$</v>
          </cell>
        </row>
        <row r="25">
          <cell r="B25" t="str">
            <v>L.T.PVC Armoured cable 4core 16sq.mm.</v>
          </cell>
          <cell r="C25" t="str">
            <v>RMT</v>
          </cell>
          <cell r="D25">
            <v>66.670940000000002</v>
          </cell>
          <cell r="E25">
            <v>8.2405281839999986</v>
          </cell>
          <cell r="F25">
            <v>74.911468184</v>
          </cell>
          <cell r="H25" t="str">
            <v>$</v>
          </cell>
        </row>
        <row r="26">
          <cell r="B26" t="str">
            <v>L.T. PVC armoured cable 2/C 16 Sq.mm</v>
          </cell>
          <cell r="C26" t="str">
            <v>RMT</v>
          </cell>
          <cell r="D26">
            <v>44.357999999999997</v>
          </cell>
          <cell r="E26">
            <v>5.4826487999999989</v>
          </cell>
          <cell r="F26">
            <v>49.840648799999997</v>
          </cell>
          <cell r="H26" t="str">
            <v>$</v>
          </cell>
        </row>
        <row r="27">
          <cell r="B27" t="str">
            <v>L.T. XLPE cable 3.5 Core 300 mm2</v>
          </cell>
          <cell r="C27" t="str">
            <v>RMT</v>
          </cell>
          <cell r="D27">
            <v>570.23460999999998</v>
          </cell>
          <cell r="E27">
            <v>70.480997795999997</v>
          </cell>
          <cell r="F27">
            <v>640.71560779599997</v>
          </cell>
          <cell r="G27"/>
          <cell r="H27" t="str">
            <v>$</v>
          </cell>
        </row>
        <row r="28">
          <cell r="B28" t="str">
            <v>L.T. XLPE cable 3.5 Core 240 mm2</v>
          </cell>
          <cell r="C28" t="str">
            <v>RMT</v>
          </cell>
          <cell r="D28">
            <v>490.5</v>
          </cell>
          <cell r="E28">
            <v>60.625799999999991</v>
          </cell>
          <cell r="F28">
            <v>551.12580000000003</v>
          </cell>
          <cell r="H28" t="str">
            <v>$</v>
          </cell>
        </row>
        <row r="29">
          <cell r="B29" t="str">
            <v>L.T. XLPE Armoured cable185 sq.mm.</v>
          </cell>
          <cell r="C29" t="str">
            <v>RMT</v>
          </cell>
          <cell r="D29">
            <v>364.63891000000001</v>
          </cell>
          <cell r="E29">
            <v>45.069369275999996</v>
          </cell>
          <cell r="F29">
            <v>409.70827927599998</v>
          </cell>
          <cell r="H29" t="str">
            <v>$</v>
          </cell>
        </row>
        <row r="30">
          <cell r="B30" t="str">
            <v>L.T.XLPE Armoured cable120 sq.mm.</v>
          </cell>
          <cell r="C30" t="str">
            <v>RMT</v>
          </cell>
          <cell r="D30">
            <v>260.13</v>
          </cell>
          <cell r="E30">
            <v>32.152067999999993</v>
          </cell>
          <cell r="F30">
            <v>292.28206799999998</v>
          </cell>
          <cell r="H30" t="str">
            <v>$</v>
          </cell>
        </row>
        <row r="31">
          <cell r="B31" t="str">
            <v>L.T.XLPE Armoured cable70 sq.mm.</v>
          </cell>
          <cell r="C31" t="str">
            <v>RMT</v>
          </cell>
          <cell r="D31">
            <v>159.97176999999999</v>
          </cell>
          <cell r="E31">
            <v>19.772510771999997</v>
          </cell>
          <cell r="F31">
            <v>179.744280772</v>
          </cell>
          <cell r="H31" t="str">
            <v>$</v>
          </cell>
        </row>
        <row r="32">
          <cell r="B32" t="str">
            <v>L.T.Aerial bunched cable(3x120)</v>
          </cell>
          <cell r="C32" t="str">
            <v>RMT</v>
          </cell>
          <cell r="D32">
            <v>246.06440000000001</v>
          </cell>
          <cell r="E32">
            <v>30.413559839999998</v>
          </cell>
          <cell r="F32">
            <v>276.47795983999998</v>
          </cell>
          <cell r="H32" t="str">
            <v>$</v>
          </cell>
        </row>
        <row r="33">
          <cell r="B33" t="str">
            <v>L.T.Aerial bunched cable(3x70)</v>
          </cell>
          <cell r="C33" t="str">
            <v>RMT</v>
          </cell>
          <cell r="D33">
            <v>157.15799999999999</v>
          </cell>
          <cell r="E33">
            <v>19.424728799999997</v>
          </cell>
          <cell r="F33">
            <v>176.58272879999998</v>
          </cell>
          <cell r="H33" t="str">
            <v>$</v>
          </cell>
        </row>
        <row r="34">
          <cell r="B34" t="str">
            <v>L.T.Aerial bunched cable(3x50)</v>
          </cell>
          <cell r="C34" t="str">
            <v>RMT</v>
          </cell>
          <cell r="D34">
            <v>116.376</v>
          </cell>
          <cell r="E34">
            <v>14.384073599999999</v>
          </cell>
          <cell r="F34">
            <v>130.7600736</v>
          </cell>
          <cell r="H34" t="str">
            <v>$</v>
          </cell>
        </row>
        <row r="35">
          <cell r="B35" t="str">
            <v>XLPE Cable 33 KV, 3 C / 300 mm sq.</v>
          </cell>
          <cell r="C35" t="str">
            <v>RMT</v>
          </cell>
          <cell r="D35">
            <v>1555.4732100000001</v>
          </cell>
          <cell r="E35">
            <v>192.25648875599998</v>
          </cell>
          <cell r="F35">
            <v>1747.7296987560001</v>
          </cell>
          <cell r="H35" t="str">
            <v>$</v>
          </cell>
        </row>
        <row r="36">
          <cell r="B36" t="str">
            <v>XLPE Cable 22 KV, 3 C / 300 mm sq.</v>
          </cell>
          <cell r="C36" t="str">
            <v>RMT</v>
          </cell>
          <cell r="D36">
            <v>1309.40471</v>
          </cell>
          <cell r="E36">
            <v>161.842422156</v>
          </cell>
          <cell r="F36">
            <v>1471.2471321560001</v>
          </cell>
          <cell r="H36" t="str">
            <v>$</v>
          </cell>
        </row>
        <row r="37">
          <cell r="B37" t="str">
            <v>XLPE Cable 22 KV, 3 C / 240 mm sq.</v>
          </cell>
          <cell r="C37" t="str">
            <v>RMT</v>
          </cell>
          <cell r="D37">
            <v>937.06</v>
          </cell>
          <cell r="E37">
            <v>115.82061599999999</v>
          </cell>
          <cell r="F37">
            <v>1200.1626000000001</v>
          </cell>
          <cell r="H37" t="str">
            <v>$</v>
          </cell>
        </row>
        <row r="38">
          <cell r="B38" t="str">
            <v>XLPE Cable 22 KV, 3 C / 95 mm sq.</v>
          </cell>
          <cell r="C38" t="str">
            <v>RMT</v>
          </cell>
          <cell r="D38">
            <v>556.6</v>
          </cell>
          <cell r="E38">
            <v>68.795760000000001</v>
          </cell>
          <cell r="F38">
            <v>848.29420000000005</v>
          </cell>
          <cell r="H38" t="str">
            <v>$</v>
          </cell>
        </row>
        <row r="39">
          <cell r="B39" t="str">
            <v>XLPE Cable 11 kV 3C 400 sq.mm.</v>
          </cell>
          <cell r="C39" t="str">
            <v>RMT</v>
          </cell>
          <cell r="D39">
            <v>1050.8699999999999</v>
          </cell>
          <cell r="E39">
            <v>129.88753199999996</v>
          </cell>
          <cell r="F39">
            <v>1602.4580000000001</v>
          </cell>
          <cell r="H39" t="str">
            <v>$</v>
          </cell>
        </row>
        <row r="40">
          <cell r="B40" t="str">
            <v>XLPE Cable 11 KV, 3 C / 300 mm sq.</v>
          </cell>
          <cell r="C40" t="str">
            <v>RMT</v>
          </cell>
          <cell r="D40">
            <v>1001.85</v>
          </cell>
          <cell r="E40">
            <v>123.82865999999999</v>
          </cell>
          <cell r="F40">
            <v>1125.67866</v>
          </cell>
          <cell r="H40" t="str">
            <v>$</v>
          </cell>
        </row>
        <row r="41">
          <cell r="B41" t="str">
            <v>XLPE Cable 11 KV, 3 C / 240 mm sq.</v>
          </cell>
          <cell r="C41" t="str">
            <v>RMT</v>
          </cell>
          <cell r="D41">
            <v>885.54822000000001</v>
          </cell>
          <cell r="E41">
            <v>109.45375999199999</v>
          </cell>
          <cell r="F41">
            <v>995.00197999199997</v>
          </cell>
          <cell r="H41" t="str">
            <v>$</v>
          </cell>
        </row>
        <row r="42">
          <cell r="B42" t="str">
            <v>XLPE Cable 11 KV, 3 C / 185 mm sq.</v>
          </cell>
          <cell r="C42" t="str">
            <v>RMT</v>
          </cell>
          <cell r="D42">
            <v>752</v>
          </cell>
          <cell r="E42">
            <v>92.947199999999995</v>
          </cell>
          <cell r="F42">
            <v>844.94719999999995</v>
          </cell>
          <cell r="H42" t="str">
            <v>$</v>
          </cell>
        </row>
        <row r="43">
          <cell r="B43" t="str">
            <v>XLPE Cable 11 KV, 3 C / 95 mm sq.</v>
          </cell>
          <cell r="C43" t="str">
            <v>RMT</v>
          </cell>
          <cell r="D43">
            <v>399.37</v>
          </cell>
          <cell r="E43">
            <v>49.362131999999995</v>
          </cell>
          <cell r="F43">
            <v>649.94799999999998</v>
          </cell>
          <cell r="G43"/>
          <cell r="H43" t="str">
            <v>$</v>
          </cell>
        </row>
        <row r="44">
          <cell r="B44" t="str">
            <v>XLPE Cable 11 kV 3C 50 sq.mm.</v>
          </cell>
          <cell r="C44" t="str">
            <v>RMT</v>
          </cell>
          <cell r="D44">
            <v>295.16000000000003</v>
          </cell>
          <cell r="E44">
            <v>36.481775999999996</v>
          </cell>
          <cell r="F44">
            <v>442.637</v>
          </cell>
          <cell r="H44" t="str">
            <v>$</v>
          </cell>
        </row>
        <row r="45">
          <cell r="B45" t="str">
            <v>XLPE Cable 11 kV 3C 35 sq.mm.</v>
          </cell>
          <cell r="C45" t="str">
            <v>RMT</v>
          </cell>
          <cell r="D45">
            <v>239.53</v>
          </cell>
          <cell r="E45">
            <v>29.605907999999996</v>
          </cell>
          <cell r="F45">
            <v>324.97399999999999</v>
          </cell>
          <cell r="H45" t="str">
            <v>$</v>
          </cell>
        </row>
        <row r="46">
          <cell r="B46" t="str">
            <v>Armoured Copper control cable 7Cx2.5 sq.mm.</v>
          </cell>
          <cell r="C46" t="str">
            <v>RMT</v>
          </cell>
          <cell r="D46">
            <v>126.38164999999999</v>
          </cell>
          <cell r="E46">
            <v>15.620771939999997</v>
          </cell>
          <cell r="F46">
            <v>142.00242193999998</v>
          </cell>
          <cell r="H46" t="str">
            <v>$</v>
          </cell>
        </row>
        <row r="47">
          <cell r="B47" t="str">
            <v>Armoured Copper control cable 2Cx2.5 sq.mm.</v>
          </cell>
          <cell r="C47" t="str">
            <v>RMT</v>
          </cell>
          <cell r="D47">
            <v>52.366950000000003</v>
          </cell>
          <cell r="E47">
            <v>6.4725550199999997</v>
          </cell>
          <cell r="F47">
            <v>58.839505020000004</v>
          </cell>
          <cell r="H47" t="str">
            <v>$</v>
          </cell>
        </row>
        <row r="48">
          <cell r="B48" t="str">
            <v>19 C X 2.5 sq mm  Copper Cable</v>
          </cell>
          <cell r="C48" t="str">
            <v>RMT</v>
          </cell>
          <cell r="D48">
            <v>300.07</v>
          </cell>
          <cell r="E48">
            <v>37.088651999999996</v>
          </cell>
          <cell r="F48">
            <v>337.15865199999996</v>
          </cell>
          <cell r="H48" t="str">
            <v>$</v>
          </cell>
        </row>
        <row r="49">
          <cell r="B49" t="str">
            <v>12 C X 2.5 sq mm  Copper Cable</v>
          </cell>
          <cell r="C49" t="str">
            <v>RMT</v>
          </cell>
          <cell r="D49">
            <v>199.12</v>
          </cell>
          <cell r="E49">
            <v>24.611231999999998</v>
          </cell>
          <cell r="F49">
            <v>223.73123200000001</v>
          </cell>
          <cell r="H49" t="str">
            <v>$</v>
          </cell>
        </row>
        <row r="50">
          <cell r="B50" t="str">
            <v>Un-Armoured Copper control cable 7Cx2.5 sq.mm.</v>
          </cell>
          <cell r="C50" t="str">
            <v>RMT</v>
          </cell>
          <cell r="D50">
            <v>108.35814999999999</v>
          </cell>
          <cell r="E50">
            <v>13.393067339999998</v>
          </cell>
          <cell r="F50">
            <v>121.75121734</v>
          </cell>
          <cell r="H50" t="str">
            <v>$</v>
          </cell>
        </row>
        <row r="51">
          <cell r="B51" t="str">
            <v>4 C X 2.5 sq mm  Copper Cable</v>
          </cell>
          <cell r="C51" t="str">
            <v>RMT</v>
          </cell>
          <cell r="D51">
            <v>67.204390000000004</v>
          </cell>
          <cell r="E51">
            <v>8.306462604</v>
          </cell>
          <cell r="F51">
            <v>75.510852604000007</v>
          </cell>
          <cell r="H51" t="str">
            <v>$</v>
          </cell>
        </row>
        <row r="52">
          <cell r="B52" t="str">
            <v>2 C X 2.5 sq mm  Copper Cable</v>
          </cell>
          <cell r="C52" t="str">
            <v>RMT</v>
          </cell>
          <cell r="D52">
            <v>38.685450000000003</v>
          </cell>
          <cell r="E52">
            <v>4.7815216199999995</v>
          </cell>
          <cell r="F52">
            <v>43.466971620000002</v>
          </cell>
          <cell r="H52" t="str">
            <v>$</v>
          </cell>
        </row>
        <row r="53">
          <cell r="B53" t="str">
            <v>L.T. PVC armoured cable 2/C 50 Sq.mm</v>
          </cell>
          <cell r="C53" t="str">
            <v>KM</v>
          </cell>
          <cell r="D53">
            <v>88441</v>
          </cell>
          <cell r="E53">
            <v>9109.4229999999989</v>
          </cell>
          <cell r="F53">
            <v>97550.422999999995</v>
          </cell>
          <cell r="H53" t="str">
            <v>$</v>
          </cell>
        </row>
        <row r="54">
          <cell r="B54" t="str">
            <v>R.S. service connection pipe 25 mm dia</v>
          </cell>
          <cell r="C54" t="str">
            <v>Mtr</v>
          </cell>
          <cell r="D54">
            <v>0</v>
          </cell>
          <cell r="E54">
            <v>0</v>
          </cell>
          <cell r="F54">
            <v>0</v>
          </cell>
          <cell r="G54" t="str">
            <v>**</v>
          </cell>
          <cell r="H54" t="str">
            <v>$</v>
          </cell>
        </row>
        <row r="55">
          <cell r="B55" t="str">
            <v>R.S. service connection pipe 20 mm dia</v>
          </cell>
          <cell r="C55" t="str">
            <v>Mtr.</v>
          </cell>
          <cell r="D55">
            <v>0</v>
          </cell>
          <cell r="E55">
            <v>0</v>
          </cell>
          <cell r="F55">
            <v>0</v>
          </cell>
          <cell r="G55" t="str">
            <v>**</v>
          </cell>
          <cell r="H55" t="str">
            <v>$</v>
          </cell>
        </row>
        <row r="56">
          <cell r="B56" t="str">
            <v>33 KV Pin Insulators{CD 840mm]</v>
          </cell>
          <cell r="C56" t="str">
            <v>No.</v>
          </cell>
          <cell r="D56">
            <v>320.10000000000002</v>
          </cell>
          <cell r="E56">
            <v>39.564360000000001</v>
          </cell>
          <cell r="F56">
            <v>359.66436000000004</v>
          </cell>
          <cell r="H56" t="str">
            <v>$</v>
          </cell>
        </row>
        <row r="58">
          <cell r="B58" t="str">
            <v xml:space="preserve">S.P.Static Meter 5-30 A with LCD display with Box   </v>
          </cell>
          <cell r="C58" t="str">
            <v>No.</v>
          </cell>
          <cell r="D58">
            <v>584</v>
          </cell>
          <cell r="E58">
            <v>72.182399999999987</v>
          </cell>
          <cell r="F58">
            <v>656.18240000000003</v>
          </cell>
          <cell r="H58" t="str">
            <v>$</v>
          </cell>
        </row>
        <row r="59">
          <cell r="B59" t="str">
            <v>S.P.Static Meter 5-30 A With LCD Display without Box</v>
          </cell>
          <cell r="C59" t="str">
            <v>No.</v>
          </cell>
          <cell r="D59">
            <v>444</v>
          </cell>
          <cell r="E59">
            <v>54.878399999999992</v>
          </cell>
          <cell r="F59">
            <v>498.8784</v>
          </cell>
          <cell r="H59" t="str">
            <v>$</v>
          </cell>
        </row>
        <row r="60">
          <cell r="B60" t="str">
            <v>S.P.Static Meter 10-60 A with LCD Display with Box</v>
          </cell>
          <cell r="C60" t="str">
            <v>No.</v>
          </cell>
          <cell r="D60">
            <v>1140.5129999999999</v>
          </cell>
          <cell r="E60">
            <v>140.96740679999996</v>
          </cell>
          <cell r="F60">
            <v>1281.4804067999999</v>
          </cell>
          <cell r="H60" t="str">
            <v>$</v>
          </cell>
        </row>
        <row r="61">
          <cell r="B61" t="str">
            <v xml:space="preserve">T.P.Meter 10-40 A Static type with KWH &amp; KVAMD </v>
          </cell>
          <cell r="C61" t="str">
            <v>No.</v>
          </cell>
          <cell r="D61">
            <v>1836.35</v>
          </cell>
          <cell r="E61">
            <v>226.97285999999997</v>
          </cell>
          <cell r="F61">
            <v>2063.3228599999998</v>
          </cell>
          <cell r="H61" t="str">
            <v>$</v>
          </cell>
        </row>
        <row r="62">
          <cell r="B62" t="str">
            <v>C.T.Op Metering Unit of 50/5A rating with electronic type meter, cabinet etc.</v>
          </cell>
          <cell r="C62" t="str">
            <v>Set</v>
          </cell>
          <cell r="D62">
            <v>16605</v>
          </cell>
          <cell r="E62">
            <v>2052.3779999999997</v>
          </cell>
          <cell r="F62">
            <v>18657.378000000001</v>
          </cell>
          <cell r="H62" t="str">
            <v>$</v>
          </cell>
        </row>
        <row r="63">
          <cell r="B63" t="str">
            <v>C.T.Op Metering Unit of 100/5A rating with electronic type meter, cabinet etc.</v>
          </cell>
          <cell r="C63" t="str">
            <v>Set</v>
          </cell>
          <cell r="D63">
            <v>17505</v>
          </cell>
          <cell r="E63">
            <v>2163.6179999999999</v>
          </cell>
          <cell r="F63">
            <v>19668.617999999999</v>
          </cell>
          <cell r="H63" t="str">
            <v>$</v>
          </cell>
        </row>
        <row r="64">
          <cell r="B64" t="str">
            <v>C.T.Operated Electronic Meter 50/5A with Communication Port RS-232.</v>
          </cell>
          <cell r="C64" t="str">
            <v>No</v>
          </cell>
          <cell r="D64">
            <v>2333</v>
          </cell>
          <cell r="E64">
            <v>288.35879999999997</v>
          </cell>
          <cell r="F64">
            <v>2621.3588</v>
          </cell>
          <cell r="H64" t="str">
            <v>$</v>
          </cell>
        </row>
        <row r="65">
          <cell r="B65" t="str">
            <v>C.T.Operated Electronic Meter 100/5A with Communication Port RS-232.</v>
          </cell>
          <cell r="C65" t="str">
            <v>No.</v>
          </cell>
          <cell r="D65">
            <v>2333</v>
          </cell>
          <cell r="E65">
            <v>288.35879999999997</v>
          </cell>
          <cell r="F65">
            <v>2621.3588</v>
          </cell>
          <cell r="H65" t="str">
            <v>$</v>
          </cell>
        </row>
        <row r="66">
          <cell r="B66" t="str">
            <v>H.T.Static Three Vector T.O.D. Meter</v>
          </cell>
          <cell r="C66" t="str">
            <v>No</v>
          </cell>
          <cell r="D66">
            <v>2693</v>
          </cell>
          <cell r="E66">
            <v>332.85479999999995</v>
          </cell>
          <cell r="F66">
            <v>3025.8548000000001</v>
          </cell>
          <cell r="H66" t="str">
            <v>$</v>
          </cell>
        </row>
        <row r="67">
          <cell r="B67" t="str">
            <v>L.T. C.T. Operated Meter Box [without CT &amp; Meter]</v>
          </cell>
          <cell r="C67" t="str">
            <v>No.</v>
          </cell>
          <cell r="D67">
            <v>1638.81</v>
          </cell>
          <cell r="E67">
            <v>202.55691599999997</v>
          </cell>
          <cell r="F67">
            <v>1841.3669159999999</v>
          </cell>
          <cell r="H67" t="str">
            <v>$</v>
          </cell>
        </row>
        <row r="68">
          <cell r="B68" t="str">
            <v xml:space="preserve">L.T. Current Transformer. 500/5A  </v>
          </cell>
          <cell r="C68" t="str">
            <v>No.</v>
          </cell>
          <cell r="D68">
            <v>212</v>
          </cell>
          <cell r="E68">
            <v>26.203199999999999</v>
          </cell>
          <cell r="F68">
            <v>238.20320000000001</v>
          </cell>
          <cell r="H68" t="str">
            <v>$</v>
          </cell>
        </row>
        <row r="69">
          <cell r="B69" t="str">
            <v xml:space="preserve">L.T. Current Transformer. 300/5A </v>
          </cell>
          <cell r="C69" t="str">
            <v>No.</v>
          </cell>
          <cell r="D69">
            <v>190</v>
          </cell>
          <cell r="E69">
            <v>23.483999999999998</v>
          </cell>
          <cell r="F69">
            <v>213.48400000000001</v>
          </cell>
          <cell r="H69" t="str">
            <v>$</v>
          </cell>
        </row>
        <row r="70">
          <cell r="B70" t="str">
            <v xml:space="preserve">L.T. Current Transformer. 200/5A </v>
          </cell>
          <cell r="C70" t="str">
            <v>No.</v>
          </cell>
          <cell r="D70">
            <v>163</v>
          </cell>
          <cell r="E70">
            <v>20.146799999999999</v>
          </cell>
          <cell r="F70">
            <v>183.14679999999998</v>
          </cell>
          <cell r="H70" t="str">
            <v>$</v>
          </cell>
        </row>
        <row r="71">
          <cell r="B71" t="str">
            <v>L.T.Dist.Boxes 25/63 KVA with MCCB</v>
          </cell>
          <cell r="C71" t="str">
            <v>No</v>
          </cell>
          <cell r="D71">
            <v>18188.05</v>
          </cell>
          <cell r="E71">
            <v>2248.0429799999997</v>
          </cell>
          <cell r="F71">
            <v>20436.092979999998</v>
          </cell>
          <cell r="H71" t="str">
            <v>$</v>
          </cell>
        </row>
        <row r="72">
          <cell r="B72" t="str">
            <v>L.T.Dist.Boxes 25/63 KVA with KITKAT</v>
          </cell>
          <cell r="C72" t="str">
            <v>No</v>
          </cell>
          <cell r="D72">
            <v>14577.02</v>
          </cell>
          <cell r="E72">
            <v>1801.7196719999999</v>
          </cell>
          <cell r="F72">
            <v>16378.739672</v>
          </cell>
          <cell r="H72" t="str">
            <v>$</v>
          </cell>
        </row>
        <row r="73">
          <cell r="B73" t="str">
            <v>L.T.Dist.Boxes 100 KVA with MCCB</v>
          </cell>
          <cell r="C73" t="str">
            <v>No</v>
          </cell>
          <cell r="D73">
            <v>18188.05</v>
          </cell>
          <cell r="E73">
            <v>2248.0429799999997</v>
          </cell>
          <cell r="F73">
            <v>20436.092979999998</v>
          </cell>
          <cell r="H73" t="str">
            <v>$</v>
          </cell>
        </row>
        <row r="74">
          <cell r="B74" t="str">
            <v>L.T.Dist.Boxes 100 KVA with KITKAT</v>
          </cell>
          <cell r="C74" t="str">
            <v>No</v>
          </cell>
          <cell r="D74">
            <v>15241.66</v>
          </cell>
          <cell r="E74">
            <v>1883.8691759999997</v>
          </cell>
          <cell r="F74">
            <v>17125.529176</v>
          </cell>
          <cell r="H74" t="str">
            <v>e</v>
          </cell>
        </row>
        <row r="75">
          <cell r="B75" t="str">
            <v>L.T.Dist.Boxes 200 KVA with MCCB</v>
          </cell>
          <cell r="C75" t="str">
            <v>No</v>
          </cell>
          <cell r="D75">
            <v>30907.22</v>
          </cell>
          <cell r="E75">
            <v>3820.132392</v>
          </cell>
          <cell r="F75">
            <v>34727.352392000001</v>
          </cell>
          <cell r="H75" t="str">
            <v>$</v>
          </cell>
        </row>
        <row r="76">
          <cell r="B76" t="str">
            <v>Common Meter Reading Instru. for Static Meters.</v>
          </cell>
          <cell r="C76" t="str">
            <v>No</v>
          </cell>
          <cell r="D76">
            <v>29500</v>
          </cell>
          <cell r="E76">
            <v>3646.2</v>
          </cell>
          <cell r="F76">
            <v>33146.199999999997</v>
          </cell>
          <cell r="H76" t="str">
            <v>$</v>
          </cell>
        </row>
        <row r="77">
          <cell r="B77" t="str">
            <v>Single Phase Distribution Box 15/25 KVA</v>
          </cell>
          <cell r="C77" t="str">
            <v>No</v>
          </cell>
          <cell r="D77">
            <v>2916.32</v>
          </cell>
          <cell r="E77">
            <v>360.45715200000001</v>
          </cell>
          <cell r="F77">
            <v>3276.7771520000001</v>
          </cell>
          <cell r="H77" t="str">
            <v>$</v>
          </cell>
        </row>
        <row r="81">
          <cell r="B81" t="str">
            <v>Item</v>
          </cell>
          <cell r="C81" t="str">
            <v>Size</v>
          </cell>
          <cell r="F81" t="str">
            <v>Ex. Work Rate</v>
          </cell>
        </row>
        <row r="82">
          <cell r="B82" t="str">
            <v>Ant To Ant</v>
          </cell>
          <cell r="C82" t="str">
            <v>50 SQ. MM</v>
          </cell>
          <cell r="F82">
            <v>157.30000000000001</v>
          </cell>
          <cell r="H82" t="str">
            <v>*</v>
          </cell>
        </row>
        <row r="83">
          <cell r="B83" t="str">
            <v>GNAT To GNAT</v>
          </cell>
          <cell r="C83" t="str">
            <v xml:space="preserve">25 SQ. MM </v>
          </cell>
          <cell r="F83">
            <v>157.30000000000001</v>
          </cell>
          <cell r="H83" t="str">
            <v>*</v>
          </cell>
        </row>
        <row r="84">
          <cell r="B84" t="str">
            <v>WEASEL TO WEASEL</v>
          </cell>
          <cell r="C84" t="str">
            <v>0.03 SQ. INCH</v>
          </cell>
          <cell r="F84">
            <v>157.30000000000001</v>
          </cell>
          <cell r="H84" t="str">
            <v>*</v>
          </cell>
        </row>
        <row r="85">
          <cell r="B85" t="str">
            <v>WEASEL To ANT/ GNAT</v>
          </cell>
          <cell r="C85" t="str">
            <v>0.03 SQ. INCH</v>
          </cell>
          <cell r="H85" t="str">
            <v>*</v>
          </cell>
        </row>
        <row r="86">
          <cell r="B86" t="str">
            <v>RABIT To RABIT</v>
          </cell>
          <cell r="C86" t="str">
            <v>0.05 SQ. Inch</v>
          </cell>
          <cell r="F86">
            <v>157.30000000000001</v>
          </cell>
          <cell r="H86" t="str">
            <v>*</v>
          </cell>
        </row>
        <row r="87">
          <cell r="B87" t="str">
            <v>RACCON TO RACCON</v>
          </cell>
          <cell r="C87" t="str">
            <v>0.08 SQ. INCH</v>
          </cell>
          <cell r="F87">
            <v>605</v>
          </cell>
          <cell r="H87" t="str">
            <v>*</v>
          </cell>
        </row>
        <row r="88">
          <cell r="B88" t="str">
            <v>DOG TO DOG</v>
          </cell>
          <cell r="C88" t="str">
            <v>0.1SQ. INCH</v>
          </cell>
          <cell r="F88">
            <v>770</v>
          </cell>
          <cell r="H88" t="str">
            <v>*</v>
          </cell>
        </row>
        <row r="89">
          <cell r="B89" t="str">
            <v>PANTHER TO PANTHER</v>
          </cell>
          <cell r="C89" t="str">
            <v>0.2 SQ. INCH</v>
          </cell>
          <cell r="F89">
            <v>990</v>
          </cell>
          <cell r="H89" t="str">
            <v>*</v>
          </cell>
        </row>
        <row r="93">
          <cell r="B93" t="str">
            <v>ACSR Panther</v>
          </cell>
          <cell r="C93" t="str">
            <v>Rmt</v>
          </cell>
          <cell r="D93">
            <v>118.98</v>
          </cell>
          <cell r="E93">
            <v>14.705927999999998</v>
          </cell>
          <cell r="F93">
            <v>133.68592799999999</v>
          </cell>
          <cell r="H93" t="str">
            <v>$</v>
          </cell>
        </row>
        <row r="94">
          <cell r="B94" t="str">
            <v>ACSR Dog</v>
          </cell>
          <cell r="C94" t="str">
            <v>Rmt</v>
          </cell>
          <cell r="D94">
            <v>49.69</v>
          </cell>
          <cell r="E94">
            <v>6.1416839999999988</v>
          </cell>
          <cell r="F94">
            <v>55.831683999999996</v>
          </cell>
          <cell r="H94" t="str">
            <v>$</v>
          </cell>
        </row>
        <row r="95">
          <cell r="B95" t="str">
            <v>ACSR Weasel</v>
          </cell>
          <cell r="C95" t="str">
            <v>Rmt</v>
          </cell>
          <cell r="D95">
            <v>14.55</v>
          </cell>
          <cell r="E95">
            <v>1.7983799999999999</v>
          </cell>
          <cell r="F95">
            <v>16.348379999999999</v>
          </cell>
          <cell r="H95" t="str">
            <v>$</v>
          </cell>
        </row>
        <row r="96">
          <cell r="B96" t="str">
            <v>AAC Ant</v>
          </cell>
          <cell r="C96" t="str">
            <v>Rmt</v>
          </cell>
          <cell r="D96">
            <v>20.99</v>
          </cell>
          <cell r="E96">
            <v>2.5943639999999997</v>
          </cell>
          <cell r="F96">
            <v>23.584363999999997</v>
          </cell>
          <cell r="H96" t="str">
            <v>$</v>
          </cell>
        </row>
        <row r="97">
          <cell r="B97" t="str">
            <v>AAC Gnat</v>
          </cell>
          <cell r="C97" t="str">
            <v>Rmt</v>
          </cell>
          <cell r="D97">
            <v>10.93</v>
          </cell>
          <cell r="E97">
            <v>1.3509479999999998</v>
          </cell>
          <cell r="F97">
            <v>12.280947999999999</v>
          </cell>
          <cell r="H97" t="str">
            <v>$</v>
          </cell>
        </row>
        <row r="98">
          <cell r="B98" t="str">
            <v>AAAC 34 mm2</v>
          </cell>
          <cell r="C98" t="str">
            <v>Rmt</v>
          </cell>
          <cell r="D98">
            <v>16.97</v>
          </cell>
          <cell r="E98">
            <v>2.0974919999999995</v>
          </cell>
          <cell r="F98">
            <v>19.067491999999998</v>
          </cell>
          <cell r="H98" t="str">
            <v>$</v>
          </cell>
        </row>
        <row r="99">
          <cell r="B99" t="str">
            <v>AAAC 55 mm2</v>
          </cell>
          <cell r="C99" t="str">
            <v>Rmt</v>
          </cell>
          <cell r="D99">
            <v>26.81</v>
          </cell>
          <cell r="E99">
            <v>3.3137159999999994</v>
          </cell>
          <cell r="F99">
            <v>30.123715999999998</v>
          </cell>
          <cell r="H99" t="str">
            <v>$</v>
          </cell>
        </row>
        <row r="100">
          <cell r="B100" t="str">
            <v>AAAC 100 mm2</v>
          </cell>
          <cell r="C100" t="str">
            <v>Rmt</v>
          </cell>
          <cell r="D100">
            <v>44.78</v>
          </cell>
          <cell r="E100">
            <v>5.534808</v>
          </cell>
          <cell r="F100">
            <v>50.314807999999999</v>
          </cell>
          <cell r="H100" t="str">
            <v>$</v>
          </cell>
        </row>
        <row r="101">
          <cell r="B101" t="str">
            <v>AAAC 232 mm2</v>
          </cell>
          <cell r="C101" t="str">
            <v>Rmt</v>
          </cell>
          <cell r="D101">
            <v>109.42</v>
          </cell>
          <cell r="E101">
            <v>13.524311999999998</v>
          </cell>
          <cell r="F101">
            <v>122.944312</v>
          </cell>
          <cell r="H101" t="str">
            <v>$</v>
          </cell>
        </row>
        <row r="102">
          <cell r="B102" t="str">
            <v>11KV A.B. Switch</v>
          </cell>
          <cell r="C102" t="str">
            <v>Set</v>
          </cell>
          <cell r="D102">
            <v>10221.43</v>
          </cell>
          <cell r="E102">
            <v>1263.3687479999999</v>
          </cell>
          <cell r="F102">
            <v>11484.798748000001</v>
          </cell>
          <cell r="H102" t="str">
            <v>$</v>
          </cell>
        </row>
        <row r="103">
          <cell r="B103" t="str">
            <v>22KV A.B.Switch</v>
          </cell>
          <cell r="C103" t="str">
            <v>Set</v>
          </cell>
          <cell r="D103">
            <v>13119.79</v>
          </cell>
          <cell r="E103">
            <v>1621.6060439999999</v>
          </cell>
          <cell r="F103">
            <v>14741.396044000001</v>
          </cell>
          <cell r="H103" t="str">
            <v>$</v>
          </cell>
        </row>
        <row r="104">
          <cell r="B104" t="str">
            <v>11KV H.G.Fuses</v>
          </cell>
          <cell r="C104" t="str">
            <v>Set</v>
          </cell>
          <cell r="D104">
            <v>1672.72</v>
          </cell>
          <cell r="E104">
            <v>206.74819199999999</v>
          </cell>
          <cell r="F104">
            <v>1879.468192</v>
          </cell>
          <cell r="H104" t="str">
            <v>$</v>
          </cell>
        </row>
        <row r="105">
          <cell r="B105" t="str">
            <v>22KV H.G.Fuses</v>
          </cell>
          <cell r="C105" t="str">
            <v>Set</v>
          </cell>
          <cell r="D105">
            <v>3426.29</v>
          </cell>
          <cell r="E105">
            <v>423.48944399999993</v>
          </cell>
          <cell r="F105">
            <v>3849.7794439999998</v>
          </cell>
          <cell r="H105" t="str">
            <v>$</v>
          </cell>
        </row>
        <row r="106">
          <cell r="B106" t="str">
            <v>Strain Hardware for AAAC232 sq.mm.</v>
          </cell>
          <cell r="C106" t="str">
            <v>Set</v>
          </cell>
          <cell r="D106">
            <v>591.39</v>
          </cell>
          <cell r="E106">
            <v>73.095803999999987</v>
          </cell>
          <cell r="F106">
            <v>664.48580399999992</v>
          </cell>
          <cell r="H106" t="str">
            <v>$</v>
          </cell>
        </row>
        <row r="107">
          <cell r="B107" t="str">
            <v xml:space="preserve">Strain Hardware for0.2 ACSR </v>
          </cell>
          <cell r="C107" t="str">
            <v>Set</v>
          </cell>
          <cell r="D107">
            <v>597.57000000000005</v>
          </cell>
          <cell r="E107">
            <v>73.859651999999997</v>
          </cell>
          <cell r="F107">
            <v>671.42965200000003</v>
          </cell>
          <cell r="H107" t="str">
            <v>$</v>
          </cell>
        </row>
        <row r="108">
          <cell r="B108" t="str">
            <v xml:space="preserve">Suspension Hardware for 0.2 ACSR </v>
          </cell>
          <cell r="C108" t="str">
            <v>Set</v>
          </cell>
          <cell r="D108">
            <v>332.61</v>
          </cell>
          <cell r="E108">
            <v>41.110596000000001</v>
          </cell>
          <cell r="F108">
            <v>373.720596</v>
          </cell>
          <cell r="H108" t="str">
            <v>$</v>
          </cell>
        </row>
        <row r="109">
          <cell r="B109" t="str">
            <v>Strain Hardware forWeasel/Squirrel</v>
          </cell>
          <cell r="C109" t="str">
            <v>Set</v>
          </cell>
          <cell r="D109">
            <v>175.09</v>
          </cell>
          <cell r="E109">
            <v>21.641123999999998</v>
          </cell>
          <cell r="F109">
            <v>196.73112399999999</v>
          </cell>
          <cell r="H109" t="str">
            <v>$</v>
          </cell>
        </row>
        <row r="110">
          <cell r="B110" t="str">
            <v>Strain Hardware for Dog0.1 or Equ.AAAC.</v>
          </cell>
          <cell r="C110" t="str">
            <v>Set</v>
          </cell>
          <cell r="D110">
            <v>315.7</v>
          </cell>
          <cell r="E110">
            <v>39.020519999999998</v>
          </cell>
          <cell r="F110">
            <v>354.72051999999996</v>
          </cell>
          <cell r="H110" t="str">
            <v>$</v>
          </cell>
        </row>
        <row r="111">
          <cell r="B111" t="str">
            <v>SSN Hardware for 0.1 Dog or AAAC 100 Sq.mm</v>
          </cell>
          <cell r="C111" t="str">
            <v>Set</v>
          </cell>
          <cell r="D111">
            <v>220.47</v>
          </cell>
          <cell r="E111">
            <v>27.250091999999999</v>
          </cell>
          <cell r="F111">
            <v>247.72009199999999</v>
          </cell>
          <cell r="H111" t="str">
            <v>$</v>
          </cell>
        </row>
        <row r="112">
          <cell r="B112" t="str">
            <v>G.I.Wire 8 SWG/ 6 SWG</v>
          </cell>
          <cell r="C112" t="str">
            <v>Kg.</v>
          </cell>
          <cell r="D112">
            <v>47.74</v>
          </cell>
          <cell r="E112">
            <v>5.9006639999999999</v>
          </cell>
          <cell r="F112">
            <v>53.640664000000001</v>
          </cell>
          <cell r="H112" t="str">
            <v>$</v>
          </cell>
        </row>
        <row r="113">
          <cell r="B113" t="str">
            <v>G.I.Wire 8 SWG/ 6 SWG</v>
          </cell>
          <cell r="C113" t="str">
            <v>Kg.</v>
          </cell>
          <cell r="D113">
            <v>47.74</v>
          </cell>
          <cell r="E113">
            <v>5.9006639999999999</v>
          </cell>
          <cell r="F113">
            <v>53.640664000000001</v>
          </cell>
          <cell r="H113" t="str">
            <v>$</v>
          </cell>
        </row>
        <row r="114">
          <cell r="B114" t="str">
            <v>G.I.Wire 3.15mm (10 SWG)</v>
          </cell>
          <cell r="C114" t="str">
            <v>Kg.</v>
          </cell>
          <cell r="D114">
            <v>47.74</v>
          </cell>
          <cell r="E114">
            <v>5.9006639999999999</v>
          </cell>
          <cell r="F114">
            <v>53.640664000000001</v>
          </cell>
          <cell r="H114" t="str">
            <v>$</v>
          </cell>
        </row>
        <row r="115">
          <cell r="B115" t="str">
            <v>G.I.Stay Wire 7/4mm(8 SWG)</v>
          </cell>
          <cell r="C115" t="str">
            <v>Kg.</v>
          </cell>
          <cell r="D115">
            <v>47.74</v>
          </cell>
          <cell r="E115">
            <v>5.9006639999999999</v>
          </cell>
          <cell r="F115">
            <v>53.640664000000001</v>
          </cell>
          <cell r="H115" t="str">
            <v>$</v>
          </cell>
        </row>
        <row r="116">
          <cell r="B116" t="str">
            <v>G.I.Stay Wire 7/3.15mm(10SWG)</v>
          </cell>
          <cell r="C116" t="str">
            <v>Kg.</v>
          </cell>
          <cell r="D116">
            <v>47.74</v>
          </cell>
          <cell r="E116">
            <v>5.9006639999999999</v>
          </cell>
          <cell r="F116">
            <v>53.640664000000001</v>
          </cell>
          <cell r="H116" t="str">
            <v>$</v>
          </cell>
        </row>
        <row r="117">
          <cell r="B117" t="str">
            <v xml:space="preserve">G.I.Barbed Wire `A' type. </v>
          </cell>
          <cell r="C117" t="str">
            <v>Kg.</v>
          </cell>
          <cell r="D117">
            <v>58.82</v>
          </cell>
          <cell r="E117">
            <v>7.2701519999999995</v>
          </cell>
          <cell r="F117">
            <v>66.090152000000003</v>
          </cell>
          <cell r="H117" t="str">
            <v>$</v>
          </cell>
        </row>
        <row r="118">
          <cell r="B118" t="str">
            <v>RSJ 116x100, 6 m long</v>
          </cell>
          <cell r="C118" t="str">
            <v>MT</v>
          </cell>
          <cell r="D118">
            <v>5020.3019999999997</v>
          </cell>
          <cell r="E118">
            <v>620.50932719999992</v>
          </cell>
          <cell r="F118">
            <v>5640.8113271999991</v>
          </cell>
          <cell r="H118" t="str">
            <v>$</v>
          </cell>
        </row>
        <row r="119">
          <cell r="B119" t="str">
            <v>RSJ 116x100, 8 m long</v>
          </cell>
          <cell r="C119" t="str">
            <v>MT</v>
          </cell>
          <cell r="D119">
            <v>6693.7359999999999</v>
          </cell>
          <cell r="E119">
            <v>827.34576959999993</v>
          </cell>
          <cell r="F119">
            <v>7521.0817695999995</v>
          </cell>
          <cell r="G119" t="str">
            <v>#</v>
          </cell>
          <cell r="H119" t="str">
            <v>$</v>
          </cell>
        </row>
        <row r="120">
          <cell r="B120" t="str">
            <v>RSJ 116x100, 9 m long</v>
          </cell>
          <cell r="C120" t="str">
            <v>MT</v>
          </cell>
          <cell r="D120">
            <v>7530.4530000000004</v>
          </cell>
          <cell r="E120">
            <v>930.76399079999999</v>
          </cell>
          <cell r="F120">
            <v>8461.2169907999996</v>
          </cell>
          <cell r="G120" t="str">
            <v>#</v>
          </cell>
          <cell r="H120" t="str">
            <v>$</v>
          </cell>
        </row>
        <row r="121">
          <cell r="B121" t="str">
            <v>RSJ 116x100, 10 m long</v>
          </cell>
          <cell r="C121" t="str">
            <v>MT</v>
          </cell>
          <cell r="D121">
            <v>8367.17</v>
          </cell>
          <cell r="E121">
            <v>1034.1822119999999</v>
          </cell>
          <cell r="F121">
            <v>9401.3522119999998</v>
          </cell>
          <cell r="G121" t="str">
            <v>#</v>
          </cell>
          <cell r="H121" t="str">
            <v>$</v>
          </cell>
        </row>
        <row r="122">
          <cell r="B122" t="str">
            <v>RSJ 116x100, 11 m long</v>
          </cell>
          <cell r="C122" t="str">
            <v>MT</v>
          </cell>
          <cell r="D122">
            <v>9203.8870000000006</v>
          </cell>
          <cell r="E122">
            <v>1137.6004332</v>
          </cell>
          <cell r="F122">
            <v>10341.4874332</v>
          </cell>
          <cell r="G122" t="str">
            <v>#</v>
          </cell>
          <cell r="H122" t="str">
            <v>$</v>
          </cell>
        </row>
        <row r="123">
          <cell r="B123" t="str">
            <v>RSJ 116x100, 12 m long</v>
          </cell>
          <cell r="C123" t="str">
            <v>MT</v>
          </cell>
          <cell r="D123">
            <v>10040.603999999999</v>
          </cell>
          <cell r="E123">
            <v>1241.0186543999998</v>
          </cell>
          <cell r="F123">
            <v>11281.622654399998</v>
          </cell>
          <cell r="G123" t="str">
            <v>#</v>
          </cell>
          <cell r="H123" t="str">
            <v>$</v>
          </cell>
        </row>
        <row r="124">
          <cell r="B124" t="str">
            <v>RSJ 116x100, 13 m long</v>
          </cell>
          <cell r="C124" t="str">
            <v>MT</v>
          </cell>
          <cell r="D124">
            <v>10877.321</v>
          </cell>
          <cell r="E124">
            <v>1344.4368755999999</v>
          </cell>
          <cell r="F124">
            <v>12221.7578756</v>
          </cell>
          <cell r="G124" t="str">
            <v>#</v>
          </cell>
          <cell r="H124" t="str">
            <v>$</v>
          </cell>
        </row>
        <row r="125">
          <cell r="B125" t="str">
            <v>RSJ 152x152, 6 m long</v>
          </cell>
          <cell r="C125" t="str">
            <v>MT</v>
          </cell>
          <cell r="D125">
            <v>7846.2048000000004</v>
          </cell>
          <cell r="E125">
            <v>969.79091327999993</v>
          </cell>
          <cell r="F125">
            <v>8815.9957132800009</v>
          </cell>
          <cell r="G125" t="str">
            <v>#</v>
          </cell>
          <cell r="H125" t="str">
            <v>$</v>
          </cell>
        </row>
        <row r="126">
          <cell r="B126" t="str">
            <v>RSJ 152x152, 8 m long</v>
          </cell>
          <cell r="C126" t="str">
            <v>MT</v>
          </cell>
          <cell r="D126">
            <v>10461.606400000001</v>
          </cell>
          <cell r="E126">
            <v>1293.05455104</v>
          </cell>
          <cell r="F126">
            <v>11754.660951040001</v>
          </cell>
          <cell r="G126" t="str">
            <v>#</v>
          </cell>
          <cell r="H126" t="str">
            <v>$</v>
          </cell>
        </row>
        <row r="127">
          <cell r="B127" t="str">
            <v>RSJ 152x152, 9 m long</v>
          </cell>
          <cell r="C127" t="str">
            <v>MT</v>
          </cell>
          <cell r="D127">
            <v>11769.307200000001</v>
          </cell>
          <cell r="E127">
            <v>1454.6863699200001</v>
          </cell>
          <cell r="F127">
            <v>13223.993569920001</v>
          </cell>
          <cell r="G127" t="str">
            <v>#</v>
          </cell>
          <cell r="H127" t="str">
            <v>$</v>
          </cell>
        </row>
        <row r="128">
          <cell r="B128" t="str">
            <v>RSJ 152x152, 10 m long</v>
          </cell>
          <cell r="C128" t="str">
            <v>MT</v>
          </cell>
          <cell r="D128">
            <v>13077.008</v>
          </cell>
          <cell r="E128">
            <v>1616.3181887999999</v>
          </cell>
          <cell r="F128">
            <v>14693.3261888</v>
          </cell>
          <cell r="G128" t="str">
            <v>#</v>
          </cell>
          <cell r="H128" t="str">
            <v>$</v>
          </cell>
        </row>
        <row r="129">
          <cell r="B129" t="str">
            <v>RSJ 152x152, 11 m long</v>
          </cell>
          <cell r="C129" t="str">
            <v>MT</v>
          </cell>
          <cell r="D129">
            <v>14384.7088</v>
          </cell>
          <cell r="E129">
            <v>1777.9500076799998</v>
          </cell>
          <cell r="F129">
            <v>16162.65880768</v>
          </cell>
          <cell r="G129" t="str">
            <v>#</v>
          </cell>
          <cell r="H129" t="str">
            <v>$</v>
          </cell>
        </row>
        <row r="130">
          <cell r="B130" t="str">
            <v>RSJ 152x152, 12 m long</v>
          </cell>
          <cell r="C130" t="str">
            <v>MT</v>
          </cell>
          <cell r="D130">
            <v>15692.409600000001</v>
          </cell>
          <cell r="E130">
            <v>1939.5818265599999</v>
          </cell>
          <cell r="F130">
            <v>17631.991426560002</v>
          </cell>
          <cell r="G130" t="str">
            <v>#</v>
          </cell>
          <cell r="H130" t="str">
            <v>$</v>
          </cell>
        </row>
        <row r="131">
          <cell r="B131" t="str">
            <v>RSJ 152x152, 13 m long</v>
          </cell>
          <cell r="C131" t="str">
            <v>MT</v>
          </cell>
          <cell r="D131">
            <v>17000.110400000001</v>
          </cell>
          <cell r="E131">
            <v>2101.2136454400002</v>
          </cell>
          <cell r="F131">
            <v>19101.32404544</v>
          </cell>
          <cell r="G131" t="str">
            <v>#</v>
          </cell>
          <cell r="H131" t="str">
            <v>$</v>
          </cell>
        </row>
        <row r="132">
          <cell r="B132" t="str">
            <v>RSJ 125x70, 6 m long</v>
          </cell>
          <cell r="C132" t="str">
            <v>MT</v>
          </cell>
          <cell r="D132">
            <v>2903.0442000000003</v>
          </cell>
          <cell r="E132">
            <v>358.81626311999997</v>
          </cell>
          <cell r="F132">
            <v>3261.8604631200001</v>
          </cell>
          <cell r="G132" t="str">
            <v>#</v>
          </cell>
          <cell r="H132" t="str">
            <v>$</v>
          </cell>
        </row>
        <row r="133">
          <cell r="B133" t="str">
            <v>RSJ 125x70, 8 m long</v>
          </cell>
          <cell r="C133" t="str">
            <v>MT</v>
          </cell>
          <cell r="D133">
            <v>3870.7256000000002</v>
          </cell>
          <cell r="E133">
            <v>478.42168415999998</v>
          </cell>
          <cell r="F133">
            <v>4349.1472841599998</v>
          </cell>
          <cell r="G133" t="str">
            <v>#</v>
          </cell>
          <cell r="H133" t="str">
            <v>$</v>
          </cell>
        </row>
        <row r="134">
          <cell r="B134" t="str">
            <v>RSJ 125x70, 9 m long</v>
          </cell>
          <cell r="C134" t="str">
            <v>MT</v>
          </cell>
          <cell r="D134">
            <v>4354.5662999999995</v>
          </cell>
          <cell r="E134">
            <v>538.22439467999993</v>
          </cell>
          <cell r="F134">
            <v>4892.7906946799994</v>
          </cell>
          <cell r="G134" t="str">
            <v>#</v>
          </cell>
          <cell r="H134" t="str">
            <v>$</v>
          </cell>
        </row>
        <row r="135">
          <cell r="B135" t="str">
            <v>RSJ 125x70, 10 m long</v>
          </cell>
          <cell r="C135" t="str">
            <v>MT</v>
          </cell>
          <cell r="D135">
            <v>4838.4070000000002</v>
          </cell>
          <cell r="E135">
            <v>598.02710519999994</v>
          </cell>
          <cell r="F135">
            <v>5436.4341052</v>
          </cell>
          <cell r="G135" t="str">
            <v>#</v>
          </cell>
          <cell r="H135" t="str">
            <v>$</v>
          </cell>
        </row>
        <row r="136">
          <cell r="B136" t="str">
            <v>RSJ 125x70, 11 m long</v>
          </cell>
          <cell r="C136" t="str">
            <v>MT</v>
          </cell>
          <cell r="D136">
            <v>5322.2476999999999</v>
          </cell>
          <cell r="E136">
            <v>657.82981571999994</v>
          </cell>
          <cell r="F136">
            <v>5980.0775157199996</v>
          </cell>
          <cell r="G136" t="str">
            <v>#</v>
          </cell>
          <cell r="H136" t="str">
            <v>$</v>
          </cell>
        </row>
        <row r="137">
          <cell r="B137" t="str">
            <v>RSJ 125x70, 12 m long</v>
          </cell>
          <cell r="C137" t="str">
            <v>MT</v>
          </cell>
          <cell r="D137">
            <v>5806.0884000000005</v>
          </cell>
          <cell r="E137">
            <v>717.63252623999995</v>
          </cell>
          <cell r="F137">
            <v>6523.7209262400002</v>
          </cell>
          <cell r="G137" t="str">
            <v>#</v>
          </cell>
          <cell r="H137" t="str">
            <v>$</v>
          </cell>
        </row>
        <row r="138">
          <cell r="B138" t="str">
            <v>RSJ 125x70, 13 m long</v>
          </cell>
          <cell r="C138" t="str">
            <v>MT</v>
          </cell>
          <cell r="D138">
            <v>6289.9291000000003</v>
          </cell>
          <cell r="E138">
            <v>777.43523675999995</v>
          </cell>
          <cell r="F138">
            <v>7067.3643367599998</v>
          </cell>
          <cell r="G138" t="str">
            <v>#</v>
          </cell>
          <cell r="H138" t="str">
            <v>$</v>
          </cell>
        </row>
        <row r="139">
          <cell r="B139" t="str">
            <v>RSJ 175x85, 6 m long</v>
          </cell>
          <cell r="C139" t="str">
            <v>MT</v>
          </cell>
          <cell r="D139">
            <v>5755.8853799999997</v>
          </cell>
          <cell r="E139">
            <v>711.42743296799995</v>
          </cell>
          <cell r="F139">
            <v>6467.3128129679999</v>
          </cell>
          <cell r="G139" t="str">
            <v>#</v>
          </cell>
          <cell r="H139" t="str">
            <v>$</v>
          </cell>
        </row>
        <row r="140">
          <cell r="B140" t="str">
            <v>RSJ 175x85, 8 m long</v>
          </cell>
          <cell r="C140" t="str">
            <v>MT</v>
          </cell>
          <cell r="D140">
            <v>7674.5138399999996</v>
          </cell>
          <cell r="E140">
            <v>948.56991062399982</v>
          </cell>
          <cell r="F140">
            <v>8623.0837506239986</v>
          </cell>
          <cell r="G140" t="str">
            <v>#</v>
          </cell>
          <cell r="H140" t="str">
            <v>$</v>
          </cell>
        </row>
        <row r="141">
          <cell r="B141" t="str">
            <v>RSJ 175x85, 9 m long</v>
          </cell>
          <cell r="C141" t="str">
            <v>MT</v>
          </cell>
          <cell r="D141">
            <v>8633.8280699999996</v>
          </cell>
          <cell r="E141">
            <v>1067.1411494519998</v>
          </cell>
          <cell r="F141">
            <v>9700.9692194519994</v>
          </cell>
          <cell r="G141" t="str">
            <v>#</v>
          </cell>
          <cell r="H141" t="str">
            <v>$</v>
          </cell>
        </row>
        <row r="142">
          <cell r="B142" t="str">
            <v>RSJ 175x85, 10 m long</v>
          </cell>
          <cell r="C142" t="str">
            <v>MT</v>
          </cell>
          <cell r="D142">
            <v>9593.1422999999995</v>
          </cell>
          <cell r="E142">
            <v>1185.7123882799999</v>
          </cell>
          <cell r="F142">
            <v>10778.85468828</v>
          </cell>
          <cell r="G142" t="str">
            <v>#</v>
          </cell>
          <cell r="H142" t="str">
            <v>$</v>
          </cell>
        </row>
        <row r="143">
          <cell r="B143" t="str">
            <v>RSJ 175x85, 11 m long</v>
          </cell>
          <cell r="C143" t="str">
            <v>MT</v>
          </cell>
          <cell r="D143">
            <v>10552.456529999999</v>
          </cell>
          <cell r="E143">
            <v>1304.2836271079998</v>
          </cell>
          <cell r="F143">
            <v>11856.740157107999</v>
          </cell>
          <cell r="G143" t="str">
            <v>#</v>
          </cell>
          <cell r="H143" t="str">
            <v>$</v>
          </cell>
        </row>
        <row r="144">
          <cell r="B144" t="str">
            <v>RSJ 175x85, 12 m long</v>
          </cell>
          <cell r="C144" t="str">
            <v>MT</v>
          </cell>
          <cell r="D144">
            <v>11511.770759999999</v>
          </cell>
          <cell r="E144">
            <v>1422.8548659359999</v>
          </cell>
          <cell r="F144">
            <v>12934.625625936</v>
          </cell>
          <cell r="G144" t="str">
            <v>#</v>
          </cell>
          <cell r="H144" t="str">
            <v>$</v>
          </cell>
        </row>
        <row r="145">
          <cell r="B145" t="str">
            <v>RSJ 175x85, 13 m long</v>
          </cell>
          <cell r="C145" t="str">
            <v>MT</v>
          </cell>
          <cell r="D145">
            <v>12471.084989999999</v>
          </cell>
          <cell r="E145">
            <v>1541.4261047639998</v>
          </cell>
          <cell r="F145">
            <v>14012.511094763999</v>
          </cell>
          <cell r="G145" t="str">
            <v>#</v>
          </cell>
          <cell r="H145" t="str">
            <v>$</v>
          </cell>
        </row>
        <row r="148">
          <cell r="B148" t="str">
            <v>Dist.Trans.  22/0.433 kV  ID  630 KVA</v>
          </cell>
          <cell r="C148" t="str">
            <v>No</v>
          </cell>
          <cell r="D148">
            <v>622921.87</v>
          </cell>
          <cell r="E148">
            <v>76993.143131999997</v>
          </cell>
          <cell r="F148">
            <v>699915.01313199999</v>
          </cell>
          <cell r="H148" t="str">
            <v>$</v>
          </cell>
        </row>
        <row r="149">
          <cell r="B149" t="str">
            <v>Dist. Transformer 630 KVA, 22/0.43 kv</v>
          </cell>
          <cell r="C149" t="str">
            <v>No</v>
          </cell>
          <cell r="D149">
            <v>617597.75</v>
          </cell>
          <cell r="E149">
            <v>76335.08189999999</v>
          </cell>
          <cell r="F149">
            <v>693932.83189999999</v>
          </cell>
          <cell r="H149" t="str">
            <v>$</v>
          </cell>
        </row>
        <row r="150">
          <cell r="B150" t="str">
            <v>Dist. Transformer 315 KVA, 22/0.43 kv</v>
          </cell>
          <cell r="C150" t="str">
            <v>No</v>
          </cell>
          <cell r="D150">
            <v>424864.66</v>
          </cell>
          <cell r="E150">
            <v>52513.271975999989</v>
          </cell>
          <cell r="F150">
            <v>477377.93197599996</v>
          </cell>
          <cell r="H150" t="str">
            <v>$</v>
          </cell>
        </row>
        <row r="151">
          <cell r="B151" t="str">
            <v>Dist.transformer 200kva,22/0.4kv</v>
          </cell>
          <cell r="C151" t="str">
            <v>No</v>
          </cell>
          <cell r="D151">
            <v>239585.33</v>
          </cell>
          <cell r="E151">
            <v>29612.746787999997</v>
          </cell>
          <cell r="F151">
            <v>269198.07678800001</v>
          </cell>
          <cell r="H151" t="str">
            <v>$</v>
          </cell>
        </row>
        <row r="152">
          <cell r="B152" t="str">
            <v>Dist.transformer 100kva,22/0.4kv</v>
          </cell>
          <cell r="C152" t="str">
            <v>No</v>
          </cell>
          <cell r="D152">
            <v>134167.79</v>
          </cell>
          <cell r="E152">
            <v>16583.138844000001</v>
          </cell>
          <cell r="F152">
            <v>150750.92884400001</v>
          </cell>
          <cell r="H152" t="str">
            <v>$</v>
          </cell>
        </row>
        <row r="153">
          <cell r="B153" t="str">
            <v>Dist. transformer 63kva,22/0.4kv</v>
          </cell>
          <cell r="C153" t="str">
            <v>No</v>
          </cell>
          <cell r="D153">
            <v>124114.49</v>
          </cell>
          <cell r="E153">
            <v>15340.550964</v>
          </cell>
          <cell r="F153">
            <v>139455.04096400001</v>
          </cell>
          <cell r="H153" t="str">
            <v>$</v>
          </cell>
        </row>
        <row r="154">
          <cell r="B154" t="str">
            <v>Dist. Transformer 630 KVA, 11/0.43 kv</v>
          </cell>
          <cell r="C154" t="str">
            <v>No.</v>
          </cell>
          <cell r="D154">
            <v>550087.93000000005</v>
          </cell>
          <cell r="E154">
            <v>67990.868147999994</v>
          </cell>
          <cell r="F154">
            <v>618078.79814800003</v>
          </cell>
          <cell r="H154" t="str">
            <v>$</v>
          </cell>
        </row>
        <row r="155">
          <cell r="B155" t="str">
            <v>Dist.Trans.  11/0.433 kV  ID 315 KVA</v>
          </cell>
          <cell r="C155" t="str">
            <v>No</v>
          </cell>
          <cell r="D155">
            <v>394836.63</v>
          </cell>
          <cell r="E155">
            <v>48801.807467999999</v>
          </cell>
          <cell r="F155">
            <v>443638.43746799999</v>
          </cell>
          <cell r="H155" t="str">
            <v>$</v>
          </cell>
        </row>
        <row r="156">
          <cell r="B156" t="str">
            <v>Dist. Transformer 315 KVA, 11/0.43 kv</v>
          </cell>
          <cell r="C156" t="str">
            <v>No</v>
          </cell>
          <cell r="D156">
            <v>391003.26</v>
          </cell>
          <cell r="E156">
            <v>48328.002935999997</v>
          </cell>
          <cell r="F156">
            <v>439331.26293600001</v>
          </cell>
          <cell r="H156" t="str">
            <v>$</v>
          </cell>
        </row>
        <row r="157">
          <cell r="B157" t="str">
            <v>Dist. Transformer 200 KVA, 11/0.43 kv</v>
          </cell>
          <cell r="C157" t="str">
            <v>No</v>
          </cell>
          <cell r="D157">
            <v>144238.17000000001</v>
          </cell>
          <cell r="E157">
            <v>17827.837812000002</v>
          </cell>
          <cell r="F157">
            <v>162066.00781200003</v>
          </cell>
          <cell r="H157" t="str">
            <v>$</v>
          </cell>
        </row>
        <row r="158">
          <cell r="B158" t="str">
            <v>Dist. Transformer 100 KVA, 11/0.43 kv</v>
          </cell>
          <cell r="C158" t="str">
            <v>No</v>
          </cell>
          <cell r="D158">
            <v>83853.119999999995</v>
          </cell>
          <cell r="E158">
            <v>10364.245631999998</v>
          </cell>
          <cell r="F158">
            <v>94217.365632000001</v>
          </cell>
          <cell r="H158" t="str">
            <v>$</v>
          </cell>
        </row>
        <row r="159">
          <cell r="B159" t="str">
            <v>Dist. transformer 63kva,11/.4kv</v>
          </cell>
          <cell r="C159" t="str">
            <v>No</v>
          </cell>
          <cell r="D159">
            <v>73176.83</v>
          </cell>
          <cell r="E159">
            <v>9044.656187999999</v>
          </cell>
          <cell r="F159">
            <v>82221.486187999995</v>
          </cell>
          <cell r="H159" t="str">
            <v>$</v>
          </cell>
        </row>
        <row r="160">
          <cell r="B160" t="str">
            <v>Dist Trans.  11/0.433 KV 200 KVA (AMDT)</v>
          </cell>
          <cell r="D160">
            <v>287990.73269999999</v>
          </cell>
          <cell r="E160">
            <v>35595.654561719995</v>
          </cell>
          <cell r="F160">
            <v>323586.38726171997</v>
          </cell>
          <cell r="H160" t="str">
            <v>$</v>
          </cell>
        </row>
        <row r="161">
          <cell r="B161" t="str">
            <v>Dist Trans.  11/0.433 KV 100 KVA (AMDT)</v>
          </cell>
          <cell r="C161" t="str">
            <v>No</v>
          </cell>
          <cell r="D161">
            <v>147344.09580000001</v>
          </cell>
          <cell r="E161">
            <v>18211.730240879999</v>
          </cell>
          <cell r="F161">
            <v>165555.82604088</v>
          </cell>
          <cell r="H161" t="str">
            <v>$</v>
          </cell>
        </row>
        <row r="162">
          <cell r="B162" t="str">
            <v>Dist.Trans.  11/0.433 KV  63 KVA (AMDT)</v>
          </cell>
          <cell r="C162" t="str">
            <v>No</v>
          </cell>
          <cell r="D162">
            <v>119065.93599999999</v>
          </cell>
          <cell r="E162">
            <v>14716.549689599997</v>
          </cell>
          <cell r="F162">
            <v>133782.4856896</v>
          </cell>
          <cell r="H162" t="str">
            <v>$</v>
          </cell>
        </row>
        <row r="163">
          <cell r="B163" t="str">
            <v>Dist.Trans.  11/0.433 KV  25 KVA (AMDT) Single phase</v>
          </cell>
          <cell r="D163">
            <v>59435.8534</v>
          </cell>
          <cell r="E163">
            <v>7346.2714802399996</v>
          </cell>
          <cell r="F163">
            <v>66782.124880239993</v>
          </cell>
          <cell r="H163" t="str">
            <v>$</v>
          </cell>
        </row>
        <row r="164">
          <cell r="B164" t="str">
            <v>Dist.Trans.  11/0.433 KV  15 KVA (AMDT) Single phase</v>
          </cell>
          <cell r="D164">
            <v>43653.750800000002</v>
          </cell>
          <cell r="E164">
            <v>5395.6035988799995</v>
          </cell>
          <cell r="F164">
            <v>49049.354398880001</v>
          </cell>
          <cell r="H164" t="str">
            <v>$</v>
          </cell>
        </row>
        <row r="165">
          <cell r="B165" t="str">
            <v>Dist Trans.  11/0.433 KV 25 KVA Single Phase</v>
          </cell>
          <cell r="C165" t="str">
            <v>No</v>
          </cell>
          <cell r="D165">
            <v>49261.132799999999</v>
          </cell>
          <cell r="E165">
            <v>6088.6760140799997</v>
          </cell>
          <cell r="F165">
            <v>55349.808814079995</v>
          </cell>
          <cell r="H165" t="str">
            <v>$</v>
          </cell>
        </row>
        <row r="166">
          <cell r="B166" t="str">
            <v>Dist Trans.  11/0.433 KV 15 KVA Single Phase</v>
          </cell>
          <cell r="C166" t="str">
            <v>No</v>
          </cell>
          <cell r="D166">
            <v>22985.8</v>
          </cell>
          <cell r="E166">
            <v>2841.0448799999995</v>
          </cell>
          <cell r="F166">
            <v>25826.844879999997</v>
          </cell>
          <cell r="H166" t="str">
            <v>$</v>
          </cell>
        </row>
        <row r="167">
          <cell r="B167" t="str">
            <v>L.A.s 22KV (Gapless type) with disconnector</v>
          </cell>
          <cell r="C167" t="str">
            <v>Set</v>
          </cell>
          <cell r="D167">
            <v>1826.67</v>
          </cell>
          <cell r="E167">
            <v>225.77641199999999</v>
          </cell>
          <cell r="F167">
            <v>2052.4464120000002</v>
          </cell>
          <cell r="H167" t="str">
            <v>$</v>
          </cell>
        </row>
        <row r="168">
          <cell r="B168" t="str">
            <v>L.As. 11 KV (Gapless type)  with disconector</v>
          </cell>
          <cell r="C168" t="str">
            <v>Set</v>
          </cell>
          <cell r="D168">
            <v>940.19999999999993</v>
          </cell>
          <cell r="E168">
            <v>116.20871999999999</v>
          </cell>
          <cell r="F168">
            <v>1056.4087199999999</v>
          </cell>
          <cell r="H168" t="str">
            <v>$</v>
          </cell>
        </row>
        <row r="169">
          <cell r="B169" t="str">
            <v>Capacitor banks without Switchgear 11 KV 0.6 MVAR</v>
          </cell>
          <cell r="C169" t="str">
            <v>Set</v>
          </cell>
          <cell r="D169">
            <v>47094.038</v>
          </cell>
          <cell r="E169">
            <v>5820.8230967999998</v>
          </cell>
          <cell r="F169">
            <v>52914.861096799999</v>
          </cell>
          <cell r="H169" t="str">
            <v>$</v>
          </cell>
        </row>
        <row r="170">
          <cell r="B170" t="str">
            <v>Automatic capacitor switch 11 KV</v>
          </cell>
          <cell r="C170" t="str">
            <v>No.</v>
          </cell>
          <cell r="D170">
            <v>94629.87</v>
          </cell>
          <cell r="E170">
            <v>11696.251931999997</v>
          </cell>
          <cell r="F170">
            <v>106326.12193199999</v>
          </cell>
          <cell r="H170" t="str">
            <v>$</v>
          </cell>
        </row>
        <row r="171">
          <cell r="B171" t="str">
            <v>Kit Kat fuses 415 V 200 A</v>
          </cell>
          <cell r="C171" t="str">
            <v>No</v>
          </cell>
          <cell r="D171">
            <v>345.87</v>
          </cell>
          <cell r="E171">
            <v>42.749531999999995</v>
          </cell>
          <cell r="F171">
            <v>388.61953199999999</v>
          </cell>
          <cell r="H171" t="str">
            <v>$</v>
          </cell>
        </row>
        <row r="172">
          <cell r="B172" t="str">
            <v>Kit Kat fuses 415 V 100 A</v>
          </cell>
          <cell r="C172" t="str">
            <v>No</v>
          </cell>
          <cell r="D172">
            <v>224.26</v>
          </cell>
          <cell r="E172">
            <v>27.718535999999997</v>
          </cell>
          <cell r="F172">
            <v>251.97853599999999</v>
          </cell>
          <cell r="H172" t="str">
            <v>$</v>
          </cell>
        </row>
        <row r="173">
          <cell r="B173" t="str">
            <v>Single pole MCB with encloser 32 A</v>
          </cell>
          <cell r="C173" t="str">
            <v>No</v>
          </cell>
          <cell r="D173">
            <v>97.97</v>
          </cell>
          <cell r="E173">
            <v>12.109091999999999</v>
          </cell>
          <cell r="F173">
            <v>110.079092</v>
          </cell>
          <cell r="H173" t="str">
            <v>$</v>
          </cell>
        </row>
        <row r="174">
          <cell r="B174" t="str">
            <v>Single pole MCB with encloser 20 A</v>
          </cell>
          <cell r="C174" t="str">
            <v>No</v>
          </cell>
          <cell r="D174">
            <v>111.8</v>
          </cell>
          <cell r="E174">
            <v>13.818479999999997</v>
          </cell>
          <cell r="F174">
            <v>125.61847999999999</v>
          </cell>
          <cell r="H174" t="str">
            <v>$</v>
          </cell>
        </row>
        <row r="175">
          <cell r="B175" t="str">
            <v>Single pole MCB with encloser 10 A</v>
          </cell>
          <cell r="C175" t="str">
            <v>No</v>
          </cell>
          <cell r="D175">
            <v>97.97</v>
          </cell>
          <cell r="E175">
            <v>12.109091999999999</v>
          </cell>
          <cell r="F175">
            <v>110.079092</v>
          </cell>
          <cell r="H175" t="str">
            <v>$</v>
          </cell>
        </row>
        <row r="176">
          <cell r="B176" t="str">
            <v xml:space="preserve">22KV   metering cubical with ratio 5/5A CTs &amp; PTs but without meter </v>
          </cell>
          <cell r="C176" t="str">
            <v>Set</v>
          </cell>
          <cell r="D176">
            <v>105944.90700000001</v>
          </cell>
          <cell r="E176">
            <v>13094.790505199999</v>
          </cell>
          <cell r="F176">
            <v>119039.69750520001</v>
          </cell>
          <cell r="H176" t="str">
            <v>$</v>
          </cell>
        </row>
        <row r="177">
          <cell r="B177" t="str">
            <v>-do-          with ratio 10/5A</v>
          </cell>
          <cell r="C177" t="str">
            <v>Set</v>
          </cell>
          <cell r="D177">
            <v>103915.31</v>
          </cell>
          <cell r="E177">
            <v>12843.932315999999</v>
          </cell>
          <cell r="F177">
            <v>116759.24231599999</v>
          </cell>
          <cell r="H177" t="str">
            <v>$</v>
          </cell>
        </row>
        <row r="178">
          <cell r="B178" t="str">
            <v>-do-         with ratio 25/5A</v>
          </cell>
          <cell r="C178" t="str">
            <v>Set</v>
          </cell>
          <cell r="D178">
            <v>115997.069</v>
          </cell>
          <cell r="E178">
            <v>14337.237728399999</v>
          </cell>
          <cell r="F178">
            <v>130334.3067284</v>
          </cell>
          <cell r="H178" t="str">
            <v>$</v>
          </cell>
        </row>
        <row r="179">
          <cell r="B179" t="str">
            <v>-do-          with ratio 50/5A</v>
          </cell>
          <cell r="C179" t="str">
            <v>Set</v>
          </cell>
          <cell r="D179">
            <v>114992.98</v>
          </cell>
          <cell r="E179">
            <v>14213.132327999998</v>
          </cell>
          <cell r="F179">
            <v>129206.11232799999</v>
          </cell>
          <cell r="H179" t="str">
            <v>$</v>
          </cell>
        </row>
        <row r="180">
          <cell r="B180" t="str">
            <v xml:space="preserve">11KV   metering cubical with ratio 5/5A CTs &amp; PTs but without meter </v>
          </cell>
          <cell r="C180" t="str">
            <v>Set</v>
          </cell>
          <cell r="D180">
            <v>69892.066000000006</v>
          </cell>
          <cell r="E180">
            <v>8638.6593575999996</v>
          </cell>
          <cell r="F180">
            <v>78530.725357600008</v>
          </cell>
          <cell r="H180" t="str">
            <v>$</v>
          </cell>
        </row>
        <row r="181">
          <cell r="B181" t="str">
            <v>-do-          with ratio 10/5A</v>
          </cell>
          <cell r="C181" t="str">
            <v>Set</v>
          </cell>
          <cell r="D181">
            <v>74888.179999999993</v>
          </cell>
          <cell r="E181">
            <v>9256.1790479999981</v>
          </cell>
          <cell r="F181">
            <v>84144.359047999984</v>
          </cell>
          <cell r="H181" t="str">
            <v>$</v>
          </cell>
        </row>
        <row r="182">
          <cell r="B182" t="str">
            <v>-do-         with ratio 25/5A</v>
          </cell>
          <cell r="C182" t="str">
            <v>Set</v>
          </cell>
          <cell r="D182">
            <v>67359.14</v>
          </cell>
          <cell r="E182">
            <v>8325.589704</v>
          </cell>
          <cell r="F182">
            <v>75684.729703999998</v>
          </cell>
          <cell r="H182" t="str">
            <v>$</v>
          </cell>
        </row>
        <row r="183">
          <cell r="B183" t="str">
            <v>-do-          with ratio 50/5A</v>
          </cell>
          <cell r="C183" t="str">
            <v>Set</v>
          </cell>
          <cell r="D183">
            <v>67359.14</v>
          </cell>
          <cell r="E183">
            <v>8325.589704</v>
          </cell>
          <cell r="F183">
            <v>75684.729703999998</v>
          </cell>
          <cell r="H183" t="str">
            <v>$</v>
          </cell>
        </row>
        <row r="184">
          <cell r="B184" t="str">
            <v>-do-          with ratio 100/5A</v>
          </cell>
          <cell r="C184" t="str">
            <v>Set</v>
          </cell>
          <cell r="D184">
            <v>67359.14</v>
          </cell>
          <cell r="E184">
            <v>8325.589704</v>
          </cell>
          <cell r="F184">
            <v>75684.729703999998</v>
          </cell>
          <cell r="H184" t="str">
            <v>$</v>
          </cell>
        </row>
        <row r="185">
          <cell r="B185" t="str">
            <v>11 kV Extendable Ring Main unit</v>
          </cell>
          <cell r="C185" t="str">
            <v>No</v>
          </cell>
          <cell r="D185">
            <v>290006.65000000002</v>
          </cell>
          <cell r="E185">
            <v>35844.821940000002</v>
          </cell>
          <cell r="F185">
            <v>325851.47194000002</v>
          </cell>
          <cell r="H185" t="str">
            <v>$</v>
          </cell>
        </row>
        <row r="186">
          <cell r="B186" t="str">
            <v>11 kV Non Extendable Ring Main unit</v>
          </cell>
          <cell r="C186" t="str">
            <v>No</v>
          </cell>
          <cell r="D186">
            <v>279265.67</v>
          </cell>
          <cell r="E186">
            <v>34517.236811999996</v>
          </cell>
          <cell r="F186">
            <v>313782.90681199997</v>
          </cell>
          <cell r="H186" t="str">
            <v>$</v>
          </cell>
        </row>
        <row r="187">
          <cell r="B187" t="str">
            <v>22 kV Non Extendable Ring Main unit</v>
          </cell>
          <cell r="C187" t="str">
            <v>No</v>
          </cell>
          <cell r="D187">
            <v>407325.08</v>
          </cell>
          <cell r="E187">
            <v>50345.379887999996</v>
          </cell>
          <cell r="F187">
            <v>457670.45988800004</v>
          </cell>
          <cell r="H187" t="str">
            <v>$</v>
          </cell>
        </row>
        <row r="188">
          <cell r="B188" t="str">
            <v xml:space="preserve">Transformer Oil </v>
          </cell>
          <cell r="C188" t="str">
            <v>KL</v>
          </cell>
          <cell r="D188">
            <v>73693.600000000006</v>
          </cell>
          <cell r="E188">
            <v>7590.4408000000003</v>
          </cell>
          <cell r="F188">
            <v>81284.040800000002</v>
          </cell>
          <cell r="H188" t="str">
            <v>$</v>
          </cell>
        </row>
        <row r="190">
          <cell r="B190" t="str">
            <v>Cost of material</v>
          </cell>
        </row>
        <row r="191">
          <cell r="B191" t="str">
            <v xml:space="preserve">Erection on material                                         </v>
          </cell>
          <cell r="F191">
            <v>0.1</v>
          </cell>
        </row>
        <row r="192">
          <cell r="B192" t="str">
            <v xml:space="preserve">Transportation on material   </v>
          </cell>
          <cell r="F192">
            <v>0.05</v>
          </cell>
        </row>
        <row r="193">
          <cell r="B193" t="str">
            <v xml:space="preserve">Insurance on material </v>
          </cell>
          <cell r="F193">
            <v>0.01</v>
          </cell>
        </row>
        <row r="194">
          <cell r="B194" t="str">
            <v>Service Tax @ (10.3%  On 1+2+3)</v>
          </cell>
          <cell r="F194">
            <v>1.6480000000000002E-2</v>
          </cell>
        </row>
        <row r="195">
          <cell r="B195" t="str">
            <v xml:space="preserve">Contingencies on material                     </v>
          </cell>
          <cell r="F195">
            <v>0.03</v>
          </cell>
        </row>
        <row r="196">
          <cell r="B196" t="str">
            <v xml:space="preserve">T &amp; P on material        </v>
          </cell>
          <cell r="F196">
            <v>1.4999999999999999E-2</v>
          </cell>
        </row>
        <row r="197">
          <cell r="B197" t="str">
            <v>Contractor supervision on charges on material</v>
          </cell>
          <cell r="F197">
            <v>0.1</v>
          </cell>
        </row>
        <row r="198">
          <cell r="B198" t="str">
            <v>Contractor profit on Total Project Cost i.e. on Sub-Total-I</v>
          </cell>
          <cell r="F198">
            <v>0.05</v>
          </cell>
        </row>
        <row r="199">
          <cell r="B199" t="str">
            <v xml:space="preserve">Contractors Financing on material                                    </v>
          </cell>
          <cell r="F199">
            <v>0.03</v>
          </cell>
        </row>
        <row r="200">
          <cell r="B200" t="str">
            <v>Price Escalation on Material Cost</v>
          </cell>
          <cell r="F200">
            <v>0.05</v>
          </cell>
        </row>
        <row r="201">
          <cell r="B201" t="str">
            <v>H.O.supervision charges @ 1.5% (i.e. 15% of 10% on errection of material)</v>
          </cell>
          <cell r="F201">
            <v>1.4999999999999999E-2</v>
          </cell>
        </row>
        <row r="202">
          <cell r="B202" t="str">
            <v>Interest during Construction Period (on total project</v>
          </cell>
          <cell r="F202">
            <v>2.5000000000000001E-2</v>
          </cell>
        </row>
        <row r="204">
          <cell r="B204" t="str">
            <v>GROUP - XIII</v>
          </cell>
        </row>
        <row r="205">
          <cell r="B205" t="str">
            <v>11 KV Isolators with EB (800 A)</v>
          </cell>
          <cell r="C205" t="str">
            <v>Set</v>
          </cell>
          <cell r="D205">
            <v>39092.75</v>
          </cell>
          <cell r="E205">
            <v>4831.8638999999994</v>
          </cell>
          <cell r="F205">
            <v>43924.613899999997</v>
          </cell>
          <cell r="H205" t="str">
            <v>$</v>
          </cell>
        </row>
        <row r="206">
          <cell r="B206" t="str">
            <v>11 KV Isolators without EB (800 Amp.)</v>
          </cell>
          <cell r="C206" t="str">
            <v>Set</v>
          </cell>
          <cell r="D206">
            <v>34367.449999999997</v>
          </cell>
          <cell r="E206">
            <v>4247.8168199999991</v>
          </cell>
          <cell r="F206">
            <v>38615.266819999997</v>
          </cell>
          <cell r="H206" t="str">
            <v>$</v>
          </cell>
        </row>
        <row r="207">
          <cell r="B207" t="str">
            <v>22 KV Isolators with EB (800 A)</v>
          </cell>
          <cell r="C207" t="str">
            <v>Set</v>
          </cell>
          <cell r="D207">
            <v>41092.75</v>
          </cell>
          <cell r="E207">
            <v>5079.0638999999992</v>
          </cell>
          <cell r="F207">
            <v>46171.813900000001</v>
          </cell>
          <cell r="H207" t="str">
            <v>$</v>
          </cell>
        </row>
        <row r="208">
          <cell r="B208" t="str">
            <v>22 KV Isolators without EB (800 Amp.)</v>
          </cell>
          <cell r="C208" t="str">
            <v>Set</v>
          </cell>
          <cell r="D208">
            <v>36367.449999999997</v>
          </cell>
          <cell r="E208">
            <v>4495.0168199999989</v>
          </cell>
          <cell r="F208">
            <v>40862.466819999994</v>
          </cell>
          <cell r="H208" t="str">
            <v>$</v>
          </cell>
        </row>
        <row r="209">
          <cell r="B209" t="str">
            <v>33 KV Isolators with EB (800 A)</v>
          </cell>
          <cell r="C209" t="str">
            <v>Set</v>
          </cell>
          <cell r="D209">
            <v>46092.75</v>
          </cell>
          <cell r="E209">
            <v>4747.5532499999999</v>
          </cell>
          <cell r="F209">
            <v>50840.303249999997</v>
          </cell>
          <cell r="H209" t="str">
            <v>$</v>
          </cell>
        </row>
        <row r="210">
          <cell r="B210" t="str">
            <v>33 KV Isolators without EB (800 Amp.)</v>
          </cell>
          <cell r="C210" t="str">
            <v>Set</v>
          </cell>
          <cell r="D210">
            <v>41367.449999999997</v>
          </cell>
          <cell r="E210">
            <v>5113.0168199999989</v>
          </cell>
          <cell r="F210">
            <v>46480.466819999994</v>
          </cell>
          <cell r="H210" t="str">
            <v>$</v>
          </cell>
        </row>
        <row r="211">
          <cell r="B211" t="str">
            <v>AC Distribution Board 'B' type</v>
          </cell>
          <cell r="C211" t="str">
            <v>No.</v>
          </cell>
          <cell r="D211">
            <v>23953.58</v>
          </cell>
          <cell r="E211">
            <v>2960.6624879999999</v>
          </cell>
          <cell r="F211">
            <v>26914.242488000004</v>
          </cell>
          <cell r="H211" t="str">
            <v>$</v>
          </cell>
        </row>
        <row r="212">
          <cell r="B212" t="str">
            <v xml:space="preserve">C&amp;R panel for 33 KV for feeder breaker </v>
          </cell>
          <cell r="C212" t="str">
            <v>Set</v>
          </cell>
          <cell r="D212">
            <v>85639.44</v>
          </cell>
          <cell r="E212">
            <v>10585.034783999999</v>
          </cell>
          <cell r="F212">
            <v>96224.474784000005</v>
          </cell>
          <cell r="H212" t="str">
            <v>$</v>
          </cell>
        </row>
        <row r="213">
          <cell r="B213" t="str">
            <v>C&amp;R panel for 22 KV feeder breaker</v>
          </cell>
          <cell r="C213" t="str">
            <v>Set</v>
          </cell>
          <cell r="D213">
            <v>75639.44</v>
          </cell>
          <cell r="E213">
            <v>9349.0347839999995</v>
          </cell>
          <cell r="F213">
            <v>84988.474784000005</v>
          </cell>
          <cell r="H213" t="str">
            <v>$</v>
          </cell>
        </row>
        <row r="214">
          <cell r="B214" t="str">
            <v>C&amp;R panel for 33 KV Transformer with 1 Amp. Relay</v>
          </cell>
          <cell r="C214" t="str">
            <v>Set</v>
          </cell>
          <cell r="D214">
            <v>56712.15</v>
          </cell>
          <cell r="E214">
            <v>7009.6217399999996</v>
          </cell>
          <cell r="F214">
            <v>63721.771740000004</v>
          </cell>
          <cell r="H214" t="str">
            <v>$</v>
          </cell>
        </row>
        <row r="215">
          <cell r="B215" t="str">
            <v>C&amp;R panel for 22 KV Transformer with 1 A relay</v>
          </cell>
          <cell r="C215" t="str">
            <v>Set</v>
          </cell>
          <cell r="D215">
            <v>51712.15</v>
          </cell>
          <cell r="E215">
            <v>6391.6217399999996</v>
          </cell>
          <cell r="F215">
            <v>58103.771740000004</v>
          </cell>
          <cell r="H215" t="str">
            <v>$</v>
          </cell>
        </row>
        <row r="216">
          <cell r="B216" t="str">
            <v>33 KV VCB complete  1600 Amp (O.D.)</v>
          </cell>
          <cell r="C216" t="str">
            <v>No.</v>
          </cell>
          <cell r="D216">
            <v>167361</v>
          </cell>
          <cell r="E216">
            <v>20685.819599999999</v>
          </cell>
          <cell r="F216">
            <v>188046.81959999999</v>
          </cell>
          <cell r="H216" t="str">
            <v>$</v>
          </cell>
        </row>
        <row r="217">
          <cell r="B217" t="str">
            <v>22 KV VCB complete  1600 Amp (O.D.)</v>
          </cell>
          <cell r="C217" t="str">
            <v>No.</v>
          </cell>
          <cell r="D217">
            <v>157361.4</v>
          </cell>
          <cell r="E217">
            <v>19449.869039999998</v>
          </cell>
          <cell r="F217">
            <v>176811.26903999998</v>
          </cell>
          <cell r="H217" t="str">
            <v>$</v>
          </cell>
        </row>
        <row r="218">
          <cell r="B218" t="str">
            <v>C&amp;R panel for 33 KV Transformer with Diff. Protection</v>
          </cell>
          <cell r="C218" t="str">
            <v>Set</v>
          </cell>
          <cell r="D218">
            <v>128974.83</v>
          </cell>
          <cell r="E218">
            <v>15941.288987999998</v>
          </cell>
          <cell r="F218">
            <v>144916.118988</v>
          </cell>
          <cell r="H218" t="str">
            <v>$</v>
          </cell>
        </row>
        <row r="219">
          <cell r="B219" t="str">
            <v>C&amp;R panel for 22 KV Transformer with Diff. Protection</v>
          </cell>
          <cell r="C219" t="str">
            <v>Set</v>
          </cell>
          <cell r="D219">
            <v>111382.46</v>
          </cell>
          <cell r="E219">
            <v>13766.872056</v>
          </cell>
          <cell r="F219">
            <v>125149.33205600001</v>
          </cell>
          <cell r="H219" t="str">
            <v>$</v>
          </cell>
        </row>
        <row r="220">
          <cell r="B220" t="str">
            <v>11 kv 250 MVA OD Switchgears comprising of 1 Incomer and 3 single feeder with associated OD panels, Islators, C.T. &amp; P.T. etc.</v>
          </cell>
          <cell r="C220" t="str">
            <v>Set</v>
          </cell>
          <cell r="D220">
            <v>1051275</v>
          </cell>
          <cell r="E220">
            <v>129937.58999999998</v>
          </cell>
          <cell r="F220">
            <v>1181212.5900000001</v>
          </cell>
          <cell r="H220" t="str">
            <v>$</v>
          </cell>
        </row>
        <row r="221">
          <cell r="B221" t="str">
            <v>11kV I D switchgear (2 I/c+1 B/c+8O/G)</v>
          </cell>
          <cell r="C221" t="str">
            <v>Set</v>
          </cell>
          <cell r="D221">
            <v>2838034.88</v>
          </cell>
          <cell r="E221">
            <v>350781.11116799997</v>
          </cell>
          <cell r="F221">
            <v>3188815.9911679998</v>
          </cell>
          <cell r="H221" t="str">
            <v>$</v>
          </cell>
        </row>
        <row r="222">
          <cell r="B222" t="str">
            <v>33 KV P.T.</v>
          </cell>
          <cell r="C222" t="str">
            <v>No.</v>
          </cell>
          <cell r="D222">
            <v>16238.58</v>
          </cell>
          <cell r="E222">
            <v>2007.0884879999999</v>
          </cell>
          <cell r="F222">
            <v>18245.668487999999</v>
          </cell>
          <cell r="H222" t="str">
            <v>$</v>
          </cell>
        </row>
        <row r="223">
          <cell r="B223" t="str">
            <v>22 KV P.T.</v>
          </cell>
          <cell r="C223" t="str">
            <v>No.</v>
          </cell>
          <cell r="D223">
            <v>16238.58</v>
          </cell>
          <cell r="E223">
            <v>2007.0884879999999</v>
          </cell>
          <cell r="F223">
            <v>18245.668487999999</v>
          </cell>
          <cell r="H223" t="str">
            <v>$</v>
          </cell>
        </row>
        <row r="224">
          <cell r="B224" t="str">
            <v>33 kV C. T. (400-200/1-1-1)</v>
          </cell>
          <cell r="C224" t="str">
            <v>No.</v>
          </cell>
          <cell r="D224">
            <v>22984.97</v>
          </cell>
          <cell r="E224">
            <v>2840.9422919999997</v>
          </cell>
          <cell r="F224">
            <v>25825.912292000001</v>
          </cell>
          <cell r="H224" t="str">
            <v>$</v>
          </cell>
        </row>
        <row r="225">
          <cell r="B225" t="str">
            <v>22 KV C.T. Three core.</v>
          </cell>
          <cell r="C225" t="str">
            <v>No.</v>
          </cell>
          <cell r="D225">
            <v>22932.68</v>
          </cell>
          <cell r="E225">
            <v>2834.4792479999996</v>
          </cell>
          <cell r="F225">
            <v>25767.159248</v>
          </cell>
          <cell r="H225" t="str">
            <v>$</v>
          </cell>
        </row>
        <row r="226">
          <cell r="B226" t="str">
            <v>30 V, 100 AH Lead Acid Battery  sets</v>
          </cell>
          <cell r="C226" t="str">
            <v>Sets</v>
          </cell>
          <cell r="D226">
            <v>20510.89</v>
          </cell>
          <cell r="E226">
            <v>2535.1460039999997</v>
          </cell>
          <cell r="F226">
            <v>23046.036003999998</v>
          </cell>
          <cell r="H226" t="str">
            <v>$</v>
          </cell>
        </row>
        <row r="227">
          <cell r="B227" t="str">
            <v>Battery chargers suitable  for above</v>
          </cell>
          <cell r="C227" t="str">
            <v>No.</v>
          </cell>
          <cell r="D227">
            <v>29704.07</v>
          </cell>
          <cell r="E227">
            <v>3671.4230519999996</v>
          </cell>
          <cell r="F227">
            <v>33375.493051999998</v>
          </cell>
          <cell r="H227" t="str">
            <v>$</v>
          </cell>
        </row>
        <row r="228">
          <cell r="B228" t="str">
            <v>Battery set 30 Volt, 100 AH with Battery charger</v>
          </cell>
          <cell r="C228" t="str">
            <v>Set</v>
          </cell>
          <cell r="D228">
            <v>50214.96</v>
          </cell>
          <cell r="E228">
            <v>6206.5690559999994</v>
          </cell>
          <cell r="F228">
            <v>56421.529055999999</v>
          </cell>
          <cell r="H228" t="str">
            <v>$</v>
          </cell>
        </row>
        <row r="229">
          <cell r="B229" t="str">
            <v>33 KV Lightning Arrestors  (Station type)</v>
          </cell>
          <cell r="C229" t="str">
            <v>Set</v>
          </cell>
          <cell r="D229">
            <v>10232.040000000001</v>
          </cell>
          <cell r="E229">
            <v>1264.6801439999999</v>
          </cell>
          <cell r="F229">
            <v>11496.720144000001</v>
          </cell>
          <cell r="H229" t="str">
            <v>$</v>
          </cell>
        </row>
        <row r="230">
          <cell r="B230" t="str">
            <v>22 KV Lightning Arrestors  (Station type)</v>
          </cell>
          <cell r="C230" t="str">
            <v>set</v>
          </cell>
          <cell r="D230">
            <v>9870.93</v>
          </cell>
          <cell r="E230">
            <v>1220.0469479999999</v>
          </cell>
          <cell r="F230">
            <v>11090.976948</v>
          </cell>
          <cell r="H230" t="str">
            <v>$</v>
          </cell>
        </row>
        <row r="231">
          <cell r="B231" t="str">
            <v>Power Transformer 33/11 KV, 5 MVA</v>
          </cell>
          <cell r="C231" t="str">
            <v>No.</v>
          </cell>
          <cell r="D231">
            <v>3300000</v>
          </cell>
          <cell r="E231">
            <v>407879.99999999994</v>
          </cell>
          <cell r="F231">
            <v>3707880</v>
          </cell>
          <cell r="H231" t="str">
            <v>$</v>
          </cell>
        </row>
        <row r="232">
          <cell r="B232" t="str">
            <v xml:space="preserve">Power Transformer 33/11 KV, 10 MVA </v>
          </cell>
          <cell r="C232" t="str">
            <v>No.</v>
          </cell>
          <cell r="D232">
            <v>5500000</v>
          </cell>
          <cell r="E232">
            <v>679799.99999999988</v>
          </cell>
          <cell r="F232">
            <v>6179800</v>
          </cell>
          <cell r="H232" t="str">
            <v>$</v>
          </cell>
        </row>
        <row r="235">
          <cell r="B235" t="str">
            <v>11 KV Lightning Arrestors  (Station type)</v>
          </cell>
          <cell r="C235" t="str">
            <v>set</v>
          </cell>
          <cell r="F235">
            <v>10162.662177452401</v>
          </cell>
          <cell r="H235" t="str">
            <v>*</v>
          </cell>
        </row>
        <row r="236">
          <cell r="B236" t="str">
            <v xml:space="preserve">11 KV PT </v>
          </cell>
          <cell r="C236" t="str">
            <v>No.</v>
          </cell>
          <cell r="F236">
            <v>7847.697000000001</v>
          </cell>
          <cell r="H236" t="str">
            <v>*</v>
          </cell>
        </row>
        <row r="237">
          <cell r="B237" t="str">
            <v>11 / .433 KV 25 KVA Transformer</v>
          </cell>
          <cell r="C237" t="str">
            <v>No</v>
          </cell>
          <cell r="F237">
            <v>63000</v>
          </cell>
          <cell r="H237" t="str">
            <v>*</v>
          </cell>
        </row>
        <row r="238">
          <cell r="B238" t="str">
            <v>11 KV  V cross arm with clamp</v>
          </cell>
          <cell r="C238" t="str">
            <v>No</v>
          </cell>
          <cell r="F238">
            <v>580.13695555555546</v>
          </cell>
          <cell r="H238" t="str">
            <v>*</v>
          </cell>
        </row>
        <row r="239">
          <cell r="B239" t="str">
            <v>22 KV  V cross arm with clamp</v>
          </cell>
          <cell r="C239" t="str">
            <v>No</v>
          </cell>
          <cell r="F239">
            <v>822.71629999999993</v>
          </cell>
          <cell r="H239" t="str">
            <v>*</v>
          </cell>
        </row>
        <row r="240">
          <cell r="B240" t="str">
            <v>33 KV  V Cross Arms</v>
          </cell>
          <cell r="C240" t="str">
            <v>No</v>
          </cell>
          <cell r="F240">
            <v>822.71629999999993</v>
          </cell>
          <cell r="H240" t="str">
            <v>*</v>
          </cell>
        </row>
        <row r="241">
          <cell r="B241" t="str">
            <v>11 KV 250 MVA OD switchgear comprising of 2 incomer &amp; 4 single feeders with associated OD pannels , Isolators CT &amp; PT etc</v>
          </cell>
          <cell r="C241" t="str">
            <v>Set</v>
          </cell>
          <cell r="F241">
            <v>2067122.0325000002</v>
          </cell>
          <cell r="H241" t="str">
            <v>*</v>
          </cell>
        </row>
        <row r="242">
          <cell r="B242" t="str">
            <v>11 KV 250 MVA O.D. Switch gear with one I/C+ one O/G</v>
          </cell>
          <cell r="C242" t="str">
            <v>Set</v>
          </cell>
          <cell r="F242">
            <v>590606.29500000004</v>
          </cell>
          <cell r="H242" t="str">
            <v>*</v>
          </cell>
        </row>
        <row r="243">
          <cell r="B243" t="str">
            <v>11 KV 250 MVA O.D. Switch gear with one I/C+ three O/G</v>
          </cell>
          <cell r="C243" t="str">
            <v>Set</v>
          </cell>
          <cell r="F243">
            <v>1181212.5900000001</v>
          </cell>
          <cell r="H243" t="str">
            <v>*</v>
          </cell>
        </row>
        <row r="244">
          <cell r="B244" t="str">
            <v>22 kv 500 MVA OD Switchgears comprising of 1 Incomer and 3 single feeder with associated OD panels, Islators, C.T. &amp; P.T. etc.</v>
          </cell>
          <cell r="C244" t="str">
            <v>Set</v>
          </cell>
          <cell r="F244">
            <v>1781635.6262960001</v>
          </cell>
          <cell r="H244" t="str">
            <v>*</v>
          </cell>
        </row>
        <row r="245">
          <cell r="B245" t="str">
            <v>11 KV 3 Phase, Residual voltage Transformer with terminal connectors.</v>
          </cell>
          <cell r="C245" t="str">
            <v>No</v>
          </cell>
          <cell r="F245">
            <v>28188.600000000002</v>
          </cell>
          <cell r="H245" t="str">
            <v>*</v>
          </cell>
        </row>
        <row r="247">
          <cell r="B247" t="str">
            <v>11 KV 500 MVA ID switchgear comprising of one incomer ,3 O/G &amp; 1 B/C with associated OD panels, Isolators, CT &amp; PT etc.</v>
          </cell>
          <cell r="C247" t="str">
            <v>Set</v>
          </cell>
          <cell r="E247">
            <v>1449461.8141672725</v>
          </cell>
          <cell r="F247">
            <v>1449461.8141672725</v>
          </cell>
          <cell r="H247" t="str">
            <v>*</v>
          </cell>
        </row>
        <row r="248">
          <cell r="B248" t="str">
            <v>11 KV Capa. Bank 0.6 MVAR without switch</v>
          </cell>
          <cell r="C248" t="str">
            <v>Set</v>
          </cell>
          <cell r="F248">
            <v>50824.4</v>
          </cell>
          <cell r="H248" t="str">
            <v>*</v>
          </cell>
        </row>
        <row r="249">
          <cell r="B249" t="str">
            <v>11 KV CT 400 - 200 / 5 - 5 Indoor</v>
          </cell>
          <cell r="C249" t="str">
            <v>No</v>
          </cell>
          <cell r="F249">
            <v>6050.0000000000009</v>
          </cell>
          <cell r="H249" t="str">
            <v>*</v>
          </cell>
        </row>
        <row r="250">
          <cell r="B250" t="str">
            <v>11 KV CT 400 - 200 / 5 - 5 Outdoor</v>
          </cell>
          <cell r="C250" t="str">
            <v>No</v>
          </cell>
          <cell r="F250">
            <v>16500</v>
          </cell>
          <cell r="H250" t="str">
            <v>*</v>
          </cell>
        </row>
        <row r="251">
          <cell r="B251" t="str">
            <v>11 KV CT 600 - 300 / 5 - 5 Indoor</v>
          </cell>
          <cell r="C251" t="str">
            <v>No</v>
          </cell>
          <cell r="F251">
            <v>6050.0000000000009</v>
          </cell>
          <cell r="H251" t="str">
            <v>*</v>
          </cell>
        </row>
        <row r="252">
          <cell r="B252" t="str">
            <v>11 KV CT 600 - 300 / 5 - 5 Outdoor</v>
          </cell>
          <cell r="C252" t="str">
            <v>No</v>
          </cell>
          <cell r="F252">
            <v>18150</v>
          </cell>
          <cell r="H252" t="str">
            <v>*</v>
          </cell>
        </row>
        <row r="253">
          <cell r="B253" t="str">
            <v>CT - 11 KV 400 - 200 - 100/ 5-5-5 A / 3 Core I/D</v>
          </cell>
          <cell r="C253" t="str">
            <v>No</v>
          </cell>
          <cell r="F253">
            <v>21780</v>
          </cell>
        </row>
        <row r="254">
          <cell r="B254" t="str">
            <v>11 KV Feedar Pillar 2 Way</v>
          </cell>
          <cell r="C254" t="str">
            <v>No</v>
          </cell>
          <cell r="F254">
            <v>78650</v>
          </cell>
          <cell r="H254" t="str">
            <v>*</v>
          </cell>
        </row>
        <row r="255">
          <cell r="B255" t="str">
            <v>11 KV Guarding angle with clamp</v>
          </cell>
          <cell r="C255" t="str">
            <v>Kg</v>
          </cell>
          <cell r="F255">
            <v>47.05</v>
          </cell>
          <cell r="H255" t="str">
            <v>*</v>
          </cell>
        </row>
        <row r="256">
          <cell r="B256" t="str">
            <v>11 kV heat shrinkable Indoor termination joint kit for 3 C X 185 sqmm</v>
          </cell>
          <cell r="C256" t="str">
            <v>Kit</v>
          </cell>
          <cell r="F256">
            <v>1663.7500000000005</v>
          </cell>
          <cell r="H256" t="str">
            <v>*</v>
          </cell>
        </row>
        <row r="257">
          <cell r="B257" t="str">
            <v>11 kV heat shrinkable Indoor termination joint kit for 3 C X 120 sqmm</v>
          </cell>
          <cell r="C257" t="str">
            <v>Kit</v>
          </cell>
          <cell r="F257">
            <v>1663.7500000000005</v>
          </cell>
        </row>
        <row r="258">
          <cell r="B258" t="str">
            <v>11 kV heat shrinkable Indoor termination joint kit for 3 C X 240 sqmm</v>
          </cell>
          <cell r="C258" t="str">
            <v>Kit</v>
          </cell>
          <cell r="F258">
            <v>1710.9400000000003</v>
          </cell>
          <cell r="H258" t="str">
            <v>*</v>
          </cell>
        </row>
        <row r="259">
          <cell r="B259" t="str">
            <v>11 kV heat shrinkable Indoor termination joint kit for 3 C X 300 sqmm</v>
          </cell>
          <cell r="C259" t="str">
            <v>Kit</v>
          </cell>
          <cell r="F259">
            <v>1798.0600000000004</v>
          </cell>
          <cell r="H259" t="str">
            <v>*</v>
          </cell>
        </row>
        <row r="260">
          <cell r="B260" t="str">
            <v>11 kV heat shrinkable Indoor termination joint kit for 3 C X 95 sqmm</v>
          </cell>
          <cell r="C260" t="str">
            <v>Kit</v>
          </cell>
          <cell r="F260">
            <v>1264.45</v>
          </cell>
          <cell r="H260" t="str">
            <v>*</v>
          </cell>
        </row>
        <row r="261">
          <cell r="B261" t="str">
            <v>11 kV heat shrinkable Outdoor termination joint kit for 3 C X 185 sqmm</v>
          </cell>
          <cell r="C261" t="str">
            <v>Kit</v>
          </cell>
          <cell r="F261">
            <v>2063.0500000000006</v>
          </cell>
          <cell r="H261" t="str">
            <v>*</v>
          </cell>
        </row>
        <row r="262">
          <cell r="B262" t="str">
            <v>11 kV heat shrinkable Outdoor termination joint kit for 3 C X 120 sqmm</v>
          </cell>
          <cell r="C262" t="str">
            <v>Kit</v>
          </cell>
          <cell r="F262">
            <v>2063.0500000000006</v>
          </cell>
          <cell r="H262" t="str">
            <v>*</v>
          </cell>
        </row>
        <row r="263">
          <cell r="B263" t="str">
            <v>11 kV heat shrinkable Outdoor termination joint kit for 3 C X 240 sqmm</v>
          </cell>
          <cell r="C263" t="str">
            <v>Kit</v>
          </cell>
          <cell r="F263">
            <v>2196.1500000000005</v>
          </cell>
          <cell r="H263" t="str">
            <v>*</v>
          </cell>
        </row>
        <row r="264">
          <cell r="B264" t="str">
            <v>11 kV heat shrinkable Outdoor termination joint kit for 3 C X 300 sqmm</v>
          </cell>
          <cell r="C264" t="str">
            <v>Kit</v>
          </cell>
          <cell r="F264">
            <v>2196.1500000000005</v>
          </cell>
          <cell r="H264" t="str">
            <v>*</v>
          </cell>
        </row>
        <row r="265">
          <cell r="B265" t="str">
            <v>11 kV heat shrinkable Outdoor termination joint kit for 3 C X 95 sqmm</v>
          </cell>
          <cell r="C265" t="str">
            <v>Kit</v>
          </cell>
          <cell r="F265">
            <v>1577.8400000000001</v>
          </cell>
          <cell r="H265" t="str">
            <v>*</v>
          </cell>
        </row>
        <row r="266">
          <cell r="B266" t="str">
            <v>11 kV heat shrinkable Straight through joint kit for 3 C X 185 sqmm</v>
          </cell>
          <cell r="C266" t="str">
            <v>Kit</v>
          </cell>
          <cell r="F266">
            <v>5457.1</v>
          </cell>
          <cell r="H266" t="str">
            <v>*</v>
          </cell>
        </row>
        <row r="267">
          <cell r="B267" t="str">
            <v>11 kV heat shrinkable Straight through joint kit for 3 C X 120 sqmm</v>
          </cell>
          <cell r="C267" t="str">
            <v>Kit</v>
          </cell>
          <cell r="F267">
            <v>5457.1</v>
          </cell>
          <cell r="H267" t="str">
            <v>*</v>
          </cell>
        </row>
        <row r="268">
          <cell r="B268" t="str">
            <v>11 kV heat shrinkable Straight through joint kit for 3 C X 240 sqmm</v>
          </cell>
          <cell r="C268" t="str">
            <v>Kit</v>
          </cell>
          <cell r="F268">
            <v>5723.3</v>
          </cell>
          <cell r="H268" t="str">
            <v>*</v>
          </cell>
        </row>
        <row r="269">
          <cell r="B269" t="str">
            <v>11 kV heat shrinkable Straight through joint kit for 3 C X 300 sqmm</v>
          </cell>
          <cell r="C269" t="str">
            <v>Kit</v>
          </cell>
          <cell r="F269">
            <v>5723.3</v>
          </cell>
          <cell r="H269" t="str">
            <v>*</v>
          </cell>
        </row>
        <row r="270">
          <cell r="B270" t="str">
            <v>11 kV heat shrinkable Straight through joint kit for 3 C X 95 sqmm</v>
          </cell>
          <cell r="C270" t="str">
            <v>Kit</v>
          </cell>
          <cell r="F270">
            <v>4525.4000000000005</v>
          </cell>
          <cell r="H270" t="str">
            <v>*</v>
          </cell>
        </row>
        <row r="271">
          <cell r="B271" t="str">
            <v xml:space="preserve">11 KV Isolator with  EB 400 A </v>
          </cell>
          <cell r="C271" t="str">
            <v>Set</v>
          </cell>
          <cell r="F271">
            <v>37092</v>
          </cell>
          <cell r="H271" t="str">
            <v>*</v>
          </cell>
        </row>
        <row r="272">
          <cell r="B272" t="str">
            <v xml:space="preserve">11 KV Isolator without  EB 400 A </v>
          </cell>
          <cell r="C272" t="str">
            <v>Set</v>
          </cell>
          <cell r="F272">
            <v>32367</v>
          </cell>
          <cell r="H272" t="str">
            <v>*</v>
          </cell>
        </row>
        <row r="273">
          <cell r="B273" t="str">
            <v>11 KV Top fitting with clamp</v>
          </cell>
          <cell r="C273" t="str">
            <v>No</v>
          </cell>
          <cell r="F273">
            <v>82.5</v>
          </cell>
          <cell r="H273" t="str">
            <v>*</v>
          </cell>
        </row>
        <row r="274">
          <cell r="B274" t="str">
            <v>11 KV VCB 400 A Indoor</v>
          </cell>
          <cell r="C274" t="str">
            <v>No</v>
          </cell>
          <cell r="F274">
            <v>150000</v>
          </cell>
          <cell r="G274">
            <v>357500</v>
          </cell>
          <cell r="H274" t="str">
            <v>*</v>
          </cell>
        </row>
        <row r="275">
          <cell r="B275" t="str">
            <v>11 KV VCB 400 A Outdoor</v>
          </cell>
          <cell r="C275" t="str">
            <v>No</v>
          </cell>
          <cell r="F275">
            <v>150000</v>
          </cell>
          <cell r="G275">
            <v>357500</v>
          </cell>
          <cell r="H275" t="str">
            <v>*</v>
          </cell>
        </row>
        <row r="276">
          <cell r="B276" t="str">
            <v>11 KV VCB 800 A Indoor</v>
          </cell>
          <cell r="C276" t="str">
            <v>No</v>
          </cell>
          <cell r="F276">
            <v>155000</v>
          </cell>
          <cell r="G276">
            <v>357500</v>
          </cell>
          <cell r="H276" t="str">
            <v>*</v>
          </cell>
        </row>
        <row r="277">
          <cell r="B277" t="str">
            <v>11 KV VCB 800 A Outdoor</v>
          </cell>
          <cell r="C277" t="str">
            <v>No</v>
          </cell>
          <cell r="F277">
            <v>155000</v>
          </cell>
          <cell r="G277">
            <v>357500</v>
          </cell>
          <cell r="H277" t="str">
            <v>*</v>
          </cell>
        </row>
        <row r="278">
          <cell r="B278" t="str">
            <v>22 KV VCB complete  800 Amp (O.D.)</v>
          </cell>
          <cell r="C278" t="str">
            <v>No.</v>
          </cell>
          <cell r="D278">
            <v>229715.17</v>
          </cell>
          <cell r="E278">
            <v>28392.795011999999</v>
          </cell>
          <cell r="F278">
            <v>156000</v>
          </cell>
          <cell r="H278" t="str">
            <v>*</v>
          </cell>
        </row>
        <row r="279">
          <cell r="B279" t="str">
            <v>11 KV, 3 Phase, 400 amps. Isolator with earth switch, Double blade complete with set of insulators and terminal connectors.</v>
          </cell>
          <cell r="C279" t="str">
            <v>No</v>
          </cell>
          <cell r="F279">
            <v>48400.000000000007</v>
          </cell>
          <cell r="H279" t="str">
            <v>*</v>
          </cell>
        </row>
        <row r="280">
          <cell r="B280" t="str">
            <v>11kV 250 MVA OD switchgear comprising of one incomer and 3 single feeders withassociated o.d.panels</v>
          </cell>
          <cell r="C280" t="str">
            <v>set</v>
          </cell>
          <cell r="F280">
            <v>1630708.9480000001</v>
          </cell>
          <cell r="H280" t="str">
            <v>*</v>
          </cell>
        </row>
        <row r="281">
          <cell r="B281" t="str">
            <v>11 KV 250 MVA OD switchgear comprising of one incomer ,3 O/G &amp; 1 B/C with associated OD panels, Isolators, CT &amp; PT etc.</v>
          </cell>
          <cell r="C281" t="str">
            <v>set</v>
          </cell>
          <cell r="F281">
            <v>1476515.7375</v>
          </cell>
          <cell r="H281" t="str">
            <v>*</v>
          </cell>
        </row>
        <row r="282">
          <cell r="B282" t="str">
            <v>152x152 mm Cross Arm clamp</v>
          </cell>
          <cell r="C282" t="str">
            <v>Pair</v>
          </cell>
          <cell r="F282">
            <v>229.2</v>
          </cell>
          <cell r="H282" t="str">
            <v>*</v>
          </cell>
        </row>
        <row r="283">
          <cell r="B283" t="str">
            <v>152x152 mm pole clamps</v>
          </cell>
          <cell r="C283" t="str">
            <v>Pair</v>
          </cell>
          <cell r="F283">
            <v>229.2</v>
          </cell>
          <cell r="H283" t="str">
            <v>*</v>
          </cell>
        </row>
        <row r="284">
          <cell r="B284" t="str">
            <v>22 kV Heat shrik Indoor termination joint (Al) kit for XLPE 3 C X 240 sqmm</v>
          </cell>
          <cell r="C284" t="str">
            <v>Kit</v>
          </cell>
          <cell r="F284">
            <v>9763.4900000000016</v>
          </cell>
          <cell r="H284" t="str">
            <v>*</v>
          </cell>
        </row>
        <row r="285">
          <cell r="B285" t="str">
            <v>22 kV Heat shrik Indoor termination joint (Al) kit for XLPE 3 C X 95 sqmm</v>
          </cell>
          <cell r="C285" t="str">
            <v>Kit</v>
          </cell>
          <cell r="F285">
            <v>9763.4900000000016</v>
          </cell>
          <cell r="H285" t="str">
            <v>*</v>
          </cell>
        </row>
        <row r="286">
          <cell r="B286" t="str">
            <v>22 kV Heat shrik Outdoor termination joint (Al) kit for XLPE 3 C X 300 sqmm</v>
          </cell>
          <cell r="C286" t="str">
            <v>Kit</v>
          </cell>
          <cell r="F286">
            <v>14840.650000000003</v>
          </cell>
          <cell r="H286" t="str">
            <v>*</v>
          </cell>
        </row>
        <row r="287">
          <cell r="B287" t="str">
            <v>22 KV Lightning Arrestors  (Screw type)</v>
          </cell>
          <cell r="C287" t="str">
            <v>Set</v>
          </cell>
          <cell r="F287">
            <v>10512.47</v>
          </cell>
          <cell r="H287" t="str">
            <v>*</v>
          </cell>
        </row>
        <row r="288">
          <cell r="B288" t="str">
            <v>22 KV Post Insulator</v>
          </cell>
          <cell r="C288" t="str">
            <v>Nos</v>
          </cell>
          <cell r="F288">
            <v>825</v>
          </cell>
          <cell r="H288" t="str">
            <v>*</v>
          </cell>
        </row>
        <row r="289">
          <cell r="B289" t="str">
            <v>22 KV Transformer CR Panel With 1 Amp relay</v>
          </cell>
          <cell r="C289" t="str">
            <v>Set</v>
          </cell>
          <cell r="F289">
            <v>81643.188000000009</v>
          </cell>
          <cell r="H289" t="str">
            <v>*</v>
          </cell>
        </row>
        <row r="290">
          <cell r="B290" t="str">
            <v>33 kV Heat shrik Indoor termination joint (Al) kit for XLPE 3 C X 300 sqmm</v>
          </cell>
          <cell r="C290" t="str">
            <v>Kit</v>
          </cell>
          <cell r="F290">
            <v>15306.500000000004</v>
          </cell>
          <cell r="H290" t="str">
            <v>*</v>
          </cell>
        </row>
        <row r="291">
          <cell r="B291" t="str">
            <v>33 kV Heat shrik Outdoor termination joint (Al) kit for XLPE 3 C X 300 sqmm</v>
          </cell>
          <cell r="C291" t="str">
            <v>Kit</v>
          </cell>
          <cell r="F291">
            <v>20590.570000000003</v>
          </cell>
          <cell r="H291" t="str">
            <v>*</v>
          </cell>
        </row>
        <row r="292">
          <cell r="B292" t="str">
            <v>33 kV Heat shrik Straight through joint (Al) kit for XLPE 3 C X 300 sqmm</v>
          </cell>
          <cell r="C292" t="str">
            <v>Kit</v>
          </cell>
          <cell r="F292">
            <v>39930</v>
          </cell>
          <cell r="H292" t="str">
            <v>*</v>
          </cell>
        </row>
        <row r="293">
          <cell r="B293" t="str">
            <v>33 KV LA 9 KA</v>
          </cell>
          <cell r="C293" t="str">
            <v>Set</v>
          </cell>
          <cell r="F293">
            <v>16105.837000000001</v>
          </cell>
          <cell r="H293" t="str">
            <v>*</v>
          </cell>
        </row>
        <row r="294">
          <cell r="B294" t="str">
            <v>33 KV Post Insulator</v>
          </cell>
          <cell r="C294" t="str">
            <v>No</v>
          </cell>
          <cell r="F294">
            <v>907.50000000000011</v>
          </cell>
          <cell r="H294" t="str">
            <v>*</v>
          </cell>
        </row>
        <row r="295">
          <cell r="B295" t="str">
            <v>33 KV Top Fitting</v>
          </cell>
          <cell r="C295" t="str">
            <v>No</v>
          </cell>
          <cell r="F295">
            <v>346.91533333333336</v>
          </cell>
          <cell r="H295" t="str">
            <v>*</v>
          </cell>
        </row>
        <row r="296">
          <cell r="B296" t="str">
            <v>22 KV Top Fitting</v>
          </cell>
          <cell r="C296" t="str">
            <v>No</v>
          </cell>
          <cell r="F296">
            <v>346.91533333333336</v>
          </cell>
          <cell r="H296" t="str">
            <v>*</v>
          </cell>
        </row>
        <row r="297">
          <cell r="B297" t="str">
            <v>33 KV Transformer CR Panel With 1 Amp relay</v>
          </cell>
          <cell r="C297" t="str">
            <v>Set</v>
          </cell>
          <cell r="F297">
            <v>81643.188000000009</v>
          </cell>
          <cell r="H297" t="str">
            <v>*</v>
          </cell>
        </row>
        <row r="298">
          <cell r="B298" t="str">
            <v>33 KV Transformer CR Panel With Differential</v>
          </cell>
          <cell r="C298" t="str">
            <v>Set</v>
          </cell>
          <cell r="F298">
            <v>170562.37000000002</v>
          </cell>
          <cell r="H298" t="str">
            <v>*</v>
          </cell>
        </row>
        <row r="299">
          <cell r="B299" t="str">
            <v>9 KV, 10 KA, 1 Ph. Metal Oxide (Gapless) Lightning Arresters with terminal connectors.</v>
          </cell>
          <cell r="C299" t="str">
            <v>Set</v>
          </cell>
          <cell r="F299">
            <v>8456.8000000000011</v>
          </cell>
          <cell r="H299" t="str">
            <v>*</v>
          </cell>
        </row>
        <row r="300">
          <cell r="B300" t="str">
            <v>AAAC 80 sqmm</v>
          </cell>
          <cell r="C300" t="str">
            <v>Rmt</v>
          </cell>
          <cell r="F300">
            <v>43.56</v>
          </cell>
          <cell r="H300" t="str">
            <v>*</v>
          </cell>
        </row>
        <row r="301">
          <cell r="B301" t="str">
            <v>Aluminium Jointing  Sleeve for 100 Sq mm ACSR</v>
          </cell>
          <cell r="C301" t="str">
            <v>No</v>
          </cell>
          <cell r="F301">
            <v>121</v>
          </cell>
          <cell r="H301" t="str">
            <v>*</v>
          </cell>
        </row>
        <row r="302">
          <cell r="B302" t="str">
            <v>Aluminium Jointing  Sleeve for 30 Sq mm ACSR</v>
          </cell>
          <cell r="C302" t="str">
            <v>No</v>
          </cell>
          <cell r="F302">
            <v>121</v>
          </cell>
          <cell r="H302" t="str">
            <v>*</v>
          </cell>
        </row>
        <row r="303">
          <cell r="B303" t="str">
            <v>Aluminium Jointing  Sleeve for 55 Sq mm AAAC</v>
          </cell>
          <cell r="C303" t="str">
            <v>No</v>
          </cell>
          <cell r="F303">
            <v>121</v>
          </cell>
          <cell r="H303" t="str">
            <v>*</v>
          </cell>
        </row>
        <row r="304">
          <cell r="B304" t="str">
            <v>Armoured Copper control cable 12C X 2.5 Sq mm</v>
          </cell>
          <cell r="C304" t="str">
            <v>Mtr</v>
          </cell>
          <cell r="F304">
            <v>169.29000000000002</v>
          </cell>
          <cell r="H304" t="str">
            <v>*</v>
          </cell>
        </row>
        <row r="305">
          <cell r="B305" t="str">
            <v>Armoured Copper control cable 19C X 2.5 Sq mm</v>
          </cell>
          <cell r="C305" t="str">
            <v>Mtr</v>
          </cell>
          <cell r="F305">
            <v>258.72000000000003</v>
          </cell>
          <cell r="H305" t="str">
            <v>*</v>
          </cell>
        </row>
        <row r="306">
          <cell r="B306" t="str">
            <v>Armoured Copper control cable 4C X 2.5 Sq mm</v>
          </cell>
          <cell r="C306" t="str">
            <v>Mtr</v>
          </cell>
          <cell r="F306">
            <v>190.23400000000001</v>
          </cell>
          <cell r="H306" t="str">
            <v>*</v>
          </cell>
        </row>
        <row r="307">
          <cell r="B307" t="str">
            <v>Armoured Copper control cable 2Cx4 sq.mm.</v>
          </cell>
          <cell r="C307" t="str">
            <v>RMT</v>
          </cell>
          <cell r="D307">
            <v>83.787120000000002</v>
          </cell>
          <cell r="E307">
            <v>10.356088032000001</v>
          </cell>
          <cell r="F307">
            <v>94.143208032000004</v>
          </cell>
          <cell r="H307" t="str">
            <v>*</v>
          </cell>
        </row>
        <row r="308">
          <cell r="B308" t="str">
            <v>Black bituminus paint</v>
          </cell>
          <cell r="C308" t="str">
            <v>Ltr</v>
          </cell>
          <cell r="F308">
            <v>45.1</v>
          </cell>
          <cell r="H308" t="str">
            <v>*</v>
          </cell>
        </row>
        <row r="309">
          <cell r="B309" t="str">
            <v>C&amp;R  Panel  for  11 kV Outgoing  Feeder OD</v>
          </cell>
          <cell r="C309" t="str">
            <v>No</v>
          </cell>
          <cell r="F309">
            <v>84988.474784000005</v>
          </cell>
          <cell r="H309" t="str">
            <v>*</v>
          </cell>
        </row>
        <row r="310">
          <cell r="B310" t="str">
            <v>Capacitor Bank 11 KV  1.2 MVAR ( 200 KVAR x 6 ) Single Star connected with Internal fuses, Interconnected mounting Structure, Insulators &amp; Other Accessories</v>
          </cell>
          <cell r="C310" t="str">
            <v>Set</v>
          </cell>
          <cell r="F310">
            <v>990000</v>
          </cell>
          <cell r="H310" t="str">
            <v>*</v>
          </cell>
        </row>
        <row r="311">
          <cell r="B311" t="str">
            <v>Capacitor banks wit Switchgear 11 KV 3 MVAR</v>
          </cell>
          <cell r="C311" t="str">
            <v>Set</v>
          </cell>
          <cell r="F311">
            <v>1486100</v>
          </cell>
          <cell r="H311" t="str">
            <v>*</v>
          </cell>
        </row>
        <row r="312">
          <cell r="B312" t="str">
            <v>Clamp for PT</v>
          </cell>
          <cell r="C312" t="str">
            <v>No</v>
          </cell>
          <cell r="F312">
            <v>1497.1</v>
          </cell>
          <cell r="H312" t="str">
            <v>*</v>
          </cell>
        </row>
        <row r="313">
          <cell r="B313" t="str">
            <v>Clamp for CT</v>
          </cell>
          <cell r="C313" t="str">
            <v>No</v>
          </cell>
          <cell r="F313">
            <v>1497.1</v>
          </cell>
          <cell r="H313" t="str">
            <v>*</v>
          </cell>
        </row>
        <row r="314">
          <cell r="B314" t="str">
            <v>Clamps for 33 KV V.C.B.</v>
          </cell>
          <cell r="C314" t="str">
            <v>No</v>
          </cell>
          <cell r="F314">
            <v>2142.91</v>
          </cell>
          <cell r="H314" t="str">
            <v>*</v>
          </cell>
        </row>
        <row r="315">
          <cell r="B315" t="str">
            <v>Clamp for T/F Bushing special  type  with  tinned  copper  and  Al  Palm</v>
          </cell>
          <cell r="C315" t="str">
            <v>No</v>
          </cell>
          <cell r="F315">
            <v>4289.09</v>
          </cell>
          <cell r="H315" t="str">
            <v>*</v>
          </cell>
        </row>
        <row r="316">
          <cell r="B316" t="str">
            <v>Clamps for 100 x 116 mm  RSJ Pole Stay</v>
          </cell>
          <cell r="C316" t="str">
            <v>Pair</v>
          </cell>
          <cell r="F316">
            <v>154.80000000000001</v>
          </cell>
          <cell r="H316" t="str">
            <v>*</v>
          </cell>
        </row>
        <row r="317">
          <cell r="B317" t="str">
            <v>Clamps for 152 x 152 mm  RSJ Pole Stay</v>
          </cell>
          <cell r="C317" t="str">
            <v>Pair</v>
          </cell>
          <cell r="F317">
            <v>229.1</v>
          </cell>
          <cell r="H317" t="str">
            <v>*</v>
          </cell>
        </row>
        <row r="318">
          <cell r="B318" t="str">
            <v>Clamps for 33 KV C.T.</v>
          </cell>
          <cell r="C318" t="str">
            <v>No</v>
          </cell>
          <cell r="F318">
            <v>1497.1</v>
          </cell>
          <cell r="H318" t="str">
            <v>*</v>
          </cell>
        </row>
        <row r="319">
          <cell r="B319" t="str">
            <v>Clamps for 33 KV Isolator</v>
          </cell>
          <cell r="C319" t="str">
            <v>No</v>
          </cell>
          <cell r="F319">
            <v>1071.4000000000001</v>
          </cell>
          <cell r="H319" t="str">
            <v>*</v>
          </cell>
        </row>
        <row r="320">
          <cell r="B320" t="str">
            <v>Clamps for 33 KV P.T.</v>
          </cell>
          <cell r="C320" t="str">
            <v>No</v>
          </cell>
          <cell r="F320">
            <v>1497.1</v>
          </cell>
          <cell r="H320" t="str">
            <v>*</v>
          </cell>
        </row>
        <row r="321">
          <cell r="B321" t="str">
            <v>Coal</v>
          </cell>
          <cell r="C321" t="str">
            <v>Kg.</v>
          </cell>
          <cell r="F321">
            <v>6</v>
          </cell>
          <cell r="H321" t="str">
            <v>*</v>
          </cell>
        </row>
        <row r="322">
          <cell r="B322" t="str">
            <v>Concreting ration 1:4:8</v>
          </cell>
          <cell r="C322" t="str">
            <v>CMtr</v>
          </cell>
          <cell r="F322">
            <v>3518</v>
          </cell>
          <cell r="H322" t="str">
            <v>*</v>
          </cell>
        </row>
        <row r="323">
          <cell r="B323" t="str">
            <v>Concreting ration 1:3:6</v>
          </cell>
          <cell r="C323" t="str">
            <v>CMtr</v>
          </cell>
          <cell r="F323">
            <v>4046</v>
          </cell>
          <cell r="H323" t="str">
            <v>*</v>
          </cell>
        </row>
        <row r="324">
          <cell r="B324" t="str">
            <v xml:space="preserve">Connectors for T/F Bushing </v>
          </cell>
          <cell r="C324" t="str">
            <v>Nos.</v>
          </cell>
          <cell r="F324">
            <v>3899.17</v>
          </cell>
          <cell r="H324" t="str">
            <v>*</v>
          </cell>
        </row>
        <row r="325">
          <cell r="B325" t="str">
            <v>Control Panel complete with NDR,UV,OV &amp; 2 O/C + 1 E/F  and Time delay relay  and accessories.</v>
          </cell>
          <cell r="C325" t="str">
            <v>No</v>
          </cell>
          <cell r="F325">
            <v>81643.188000000009</v>
          </cell>
          <cell r="H325" t="str">
            <v>*</v>
          </cell>
        </row>
        <row r="326">
          <cell r="B326" t="str">
            <v>CT 200 -100 / 5 - 5 Amp11 KV 1 Ph. Oil filled Out Door Type with Terminal connections</v>
          </cell>
          <cell r="C326" t="str">
            <v>No</v>
          </cell>
          <cell r="F326">
            <v>16940</v>
          </cell>
          <cell r="H326" t="str">
            <v>*</v>
          </cell>
        </row>
        <row r="327">
          <cell r="B327" t="str">
            <v>Cutpoint channel - 11 KV</v>
          </cell>
          <cell r="C327" t="str">
            <v>Pair</v>
          </cell>
          <cell r="F327">
            <v>835</v>
          </cell>
          <cell r="H327" t="str">
            <v>*</v>
          </cell>
        </row>
        <row r="328">
          <cell r="B328" t="str">
            <v>Cutpoint channel - 33 / 22 KV</v>
          </cell>
          <cell r="C328" t="str">
            <v>Pair</v>
          </cell>
          <cell r="F328">
            <v>1350</v>
          </cell>
          <cell r="H328" t="str">
            <v>*</v>
          </cell>
        </row>
        <row r="329">
          <cell r="B329" t="str">
            <v>Danger Board in yard.</v>
          </cell>
          <cell r="C329" t="str">
            <v>No</v>
          </cell>
          <cell r="F329">
            <v>49</v>
          </cell>
          <cell r="H329" t="str">
            <v>*</v>
          </cell>
        </row>
        <row r="330">
          <cell r="B330" t="str">
            <v>DTC  Metering  Cabinet ( Box )</v>
          </cell>
          <cell r="C330" t="str">
            <v>No</v>
          </cell>
          <cell r="F330">
            <v>4235</v>
          </cell>
          <cell r="H330" t="str">
            <v>*</v>
          </cell>
        </row>
        <row r="331">
          <cell r="B331" t="str">
            <v>Earthing Sets H.T of C.I.pipe 150 mm 3 mtr.</v>
          </cell>
          <cell r="C331" t="str">
            <v>No.</v>
          </cell>
          <cell r="F331">
            <v>6655.0000000000009</v>
          </cell>
          <cell r="H331" t="str">
            <v>*</v>
          </cell>
        </row>
        <row r="332">
          <cell r="B332" t="str">
            <v>Earthing Replenishment for DTC</v>
          </cell>
          <cell r="C332" t="str">
            <v>Set</v>
          </cell>
          <cell r="F332">
            <v>11000</v>
          </cell>
          <cell r="H332" t="str">
            <v>*</v>
          </cell>
        </row>
        <row r="333">
          <cell r="B333" t="str">
            <v xml:space="preserve">Electron  Powder </v>
          </cell>
          <cell r="C333" t="str">
            <v>Kg</v>
          </cell>
          <cell r="F333">
            <v>10</v>
          </cell>
          <cell r="H333" t="str">
            <v>*</v>
          </cell>
        </row>
        <row r="334">
          <cell r="B334" t="str">
            <v>Aluminium Bobbins for neutral</v>
          </cell>
          <cell r="C334" t="str">
            <v>No.</v>
          </cell>
          <cell r="F334">
            <v>33</v>
          </cell>
          <cell r="H334" t="str">
            <v>*</v>
          </cell>
        </row>
        <row r="335">
          <cell r="B335" t="str">
            <v>Fire Extinguisher with stand</v>
          </cell>
          <cell r="C335" t="str">
            <v>Set</v>
          </cell>
          <cell r="F335">
            <v>4840</v>
          </cell>
          <cell r="H335" t="str">
            <v>*</v>
          </cell>
        </row>
        <row r="336">
          <cell r="B336" t="str">
            <v>Furniture for S/Stn.</v>
          </cell>
          <cell r="C336" t="str">
            <v>L.S.</v>
          </cell>
          <cell r="F336">
            <v>6050.0000000000009</v>
          </cell>
          <cell r="H336" t="str">
            <v>*</v>
          </cell>
        </row>
        <row r="337">
          <cell r="B337" t="str">
            <v>Flood lights with control gear box &amp; 250w SV Lamp</v>
          </cell>
          <cell r="C337" t="str">
            <v>No</v>
          </cell>
          <cell r="F337">
            <v>3388.0000000000005</v>
          </cell>
          <cell r="H337" t="str">
            <v>*</v>
          </cell>
        </row>
        <row r="338">
          <cell r="B338" t="str">
            <v>Foundation for 11 kV Isolators</v>
          </cell>
          <cell r="F338">
            <v>3518</v>
          </cell>
          <cell r="H338" t="str">
            <v>*</v>
          </cell>
        </row>
        <row r="339">
          <cell r="B339" t="str">
            <v>Foundation for 11 kV Isolators without EB</v>
          </cell>
          <cell r="F339">
            <v>3518</v>
          </cell>
          <cell r="H339" t="str">
            <v>*</v>
          </cell>
        </row>
        <row r="340">
          <cell r="B340" t="str">
            <v>Foundation for 11 kV Lightning Arrestor</v>
          </cell>
          <cell r="F340">
            <v>3518</v>
          </cell>
          <cell r="H340" t="str">
            <v>*</v>
          </cell>
        </row>
        <row r="341">
          <cell r="B341" t="str">
            <v>Foundation for 11 kV C.Ts</v>
          </cell>
          <cell r="F341">
            <v>3518</v>
          </cell>
          <cell r="H341" t="str">
            <v>*</v>
          </cell>
        </row>
        <row r="342">
          <cell r="B342" t="str">
            <v>Foundation for 11 kV P.Ts</v>
          </cell>
          <cell r="F342">
            <v>3518</v>
          </cell>
          <cell r="H342" t="str">
            <v>*</v>
          </cell>
        </row>
        <row r="343">
          <cell r="B343" t="str">
            <v>Foundation for 11 kV Breaker</v>
          </cell>
          <cell r="F343">
            <v>3518</v>
          </cell>
          <cell r="H343" t="str">
            <v>*</v>
          </cell>
        </row>
        <row r="344">
          <cell r="B344" t="str">
            <v>Foundation for Gantry Structures</v>
          </cell>
          <cell r="F344">
            <v>3518</v>
          </cell>
          <cell r="H344" t="str">
            <v>*</v>
          </cell>
        </row>
        <row r="345">
          <cell r="B345" t="str">
            <v>Foundation for 22 kV Isolators</v>
          </cell>
          <cell r="F345">
            <v>3518</v>
          </cell>
          <cell r="H345" t="str">
            <v>*</v>
          </cell>
        </row>
        <row r="346">
          <cell r="B346" t="str">
            <v>Foundation for 22 kV Isolators without EB</v>
          </cell>
          <cell r="F346">
            <v>3518</v>
          </cell>
          <cell r="H346" t="str">
            <v>*</v>
          </cell>
        </row>
        <row r="347">
          <cell r="B347" t="str">
            <v>Foundation for 22 kV Lightning Arrestor</v>
          </cell>
          <cell r="F347">
            <v>3518</v>
          </cell>
          <cell r="H347" t="str">
            <v>*</v>
          </cell>
        </row>
        <row r="348">
          <cell r="B348" t="str">
            <v>Foundation for 22 kV C.Ts</v>
          </cell>
          <cell r="F348">
            <v>3518</v>
          </cell>
          <cell r="H348" t="str">
            <v>*</v>
          </cell>
        </row>
        <row r="349">
          <cell r="B349" t="str">
            <v>Foundation for 22 kV Breaker</v>
          </cell>
          <cell r="F349">
            <v>3518</v>
          </cell>
          <cell r="H349" t="str">
            <v>*</v>
          </cell>
        </row>
        <row r="350">
          <cell r="B350" t="str">
            <v>Foundation for Gantry Structures</v>
          </cell>
          <cell r="F350">
            <v>3518</v>
          </cell>
          <cell r="H350" t="str">
            <v>*</v>
          </cell>
        </row>
        <row r="351">
          <cell r="B351" t="str">
            <v>Foundation for 33 kV Isolators with EB</v>
          </cell>
          <cell r="F351">
            <v>4046</v>
          </cell>
          <cell r="H351" t="str">
            <v>*</v>
          </cell>
        </row>
        <row r="352">
          <cell r="B352" t="str">
            <v>Foundation for 33 kV Isolators without EB</v>
          </cell>
          <cell r="F352">
            <v>4046</v>
          </cell>
          <cell r="H352" t="str">
            <v>*</v>
          </cell>
        </row>
        <row r="353">
          <cell r="B353" t="str">
            <v>Foundation for 33 kV Lightning Arrestor</v>
          </cell>
          <cell r="F353">
            <v>4046</v>
          </cell>
          <cell r="H353" t="str">
            <v>*</v>
          </cell>
        </row>
        <row r="354">
          <cell r="B354" t="str">
            <v>Foundation for 33 kV C.Ts</v>
          </cell>
          <cell r="F354">
            <v>4046</v>
          </cell>
          <cell r="H354" t="str">
            <v>*</v>
          </cell>
        </row>
        <row r="355">
          <cell r="B355" t="str">
            <v>Foundation for 33 kV P.Ts</v>
          </cell>
          <cell r="F355">
            <v>3518</v>
          </cell>
          <cell r="H355" t="str">
            <v>*</v>
          </cell>
        </row>
        <row r="356">
          <cell r="B356" t="str">
            <v>Foundation for 33 kV Breaker</v>
          </cell>
          <cell r="F356">
            <v>4046</v>
          </cell>
          <cell r="H356" t="str">
            <v>*</v>
          </cell>
        </row>
        <row r="357">
          <cell r="B357" t="str">
            <v>Foundation for Gantry Structures</v>
          </cell>
          <cell r="F357">
            <v>4046</v>
          </cell>
          <cell r="H357" t="str">
            <v>*</v>
          </cell>
        </row>
        <row r="358">
          <cell r="B358" t="str">
            <v>HT Pillar Foundation</v>
          </cell>
          <cell r="E358"/>
          <cell r="F358">
            <v>12100.000000000002</v>
          </cell>
          <cell r="H358" t="str">
            <v>*</v>
          </cell>
        </row>
        <row r="359">
          <cell r="B359" t="str">
            <v>G.I. Pipe 110 mm</v>
          </cell>
          <cell r="C359" t="str">
            <v>Mtr</v>
          </cell>
          <cell r="F359">
            <v>193.60000000000002</v>
          </cell>
          <cell r="H359" t="str">
            <v>*</v>
          </cell>
        </row>
        <row r="360">
          <cell r="B360" t="str">
            <v>G.I.Nut Bolts</v>
          </cell>
          <cell r="C360" t="str">
            <v>Kg</v>
          </cell>
          <cell r="F360">
            <v>73</v>
          </cell>
          <cell r="H360" t="str">
            <v>*</v>
          </cell>
        </row>
        <row r="361">
          <cell r="B361" t="str">
            <v>G.I.Nut Boltss Washer &amp; Misc Material</v>
          </cell>
          <cell r="C361" t="str">
            <v>L.S</v>
          </cell>
          <cell r="F361">
            <v>1815</v>
          </cell>
          <cell r="H361" t="str">
            <v>*</v>
          </cell>
        </row>
        <row r="362">
          <cell r="B362" t="str">
            <v>GI Pipe 20 mm</v>
          </cell>
          <cell r="C362" t="str">
            <v>Mtr</v>
          </cell>
          <cell r="F362">
            <v>57</v>
          </cell>
          <cell r="H362" t="str">
            <v>*</v>
          </cell>
        </row>
        <row r="363">
          <cell r="B363" t="str">
            <v>GI Pipe 25 mm</v>
          </cell>
          <cell r="C363" t="str">
            <v>Mtr</v>
          </cell>
          <cell r="F363">
            <v>72</v>
          </cell>
          <cell r="H363" t="str">
            <v>*</v>
          </cell>
        </row>
        <row r="364">
          <cell r="B364" t="str">
            <v>Gantry Structures</v>
          </cell>
          <cell r="F364">
            <v>55</v>
          </cell>
          <cell r="H364" t="str">
            <v>*</v>
          </cell>
        </row>
        <row r="365">
          <cell r="B365" t="str">
            <v>Half round cement pipe ( 150mm X 1mtr)</v>
          </cell>
          <cell r="C365" t="str">
            <v>No</v>
          </cell>
          <cell r="F365">
            <v>95</v>
          </cell>
          <cell r="H365" t="str">
            <v>*</v>
          </cell>
        </row>
        <row r="366">
          <cell r="B366" t="str">
            <v>Hot dip Galvanised Elevating Structure for Capacitor Bank &amp; RVT, Isolator, VCB etc.</v>
          </cell>
          <cell r="C366" t="str">
            <v>Set</v>
          </cell>
          <cell r="F366">
            <v>48400</v>
          </cell>
          <cell r="H366" t="str">
            <v>*</v>
          </cell>
        </row>
        <row r="367">
          <cell r="B367" t="str">
            <v>Jointing Sleeves for Conductor.</v>
          </cell>
          <cell r="C367" t="str">
            <v>No</v>
          </cell>
          <cell r="F367">
            <v>36</v>
          </cell>
          <cell r="H367" t="str">
            <v>*</v>
          </cell>
        </row>
        <row r="368">
          <cell r="B368" t="str">
            <v>L.Board with clamp</v>
          </cell>
          <cell r="C368" t="str">
            <v>No</v>
          </cell>
          <cell r="F368">
            <v>242</v>
          </cell>
          <cell r="H368" t="str">
            <v>*</v>
          </cell>
        </row>
        <row r="369">
          <cell r="B369" t="str">
            <v>L.T. 2 Core Cable 2.5 sqmm Armoured</v>
          </cell>
          <cell r="C369" t="str">
            <v>Mtr</v>
          </cell>
          <cell r="F369">
            <v>77</v>
          </cell>
          <cell r="H369" t="str">
            <v>*</v>
          </cell>
        </row>
        <row r="370">
          <cell r="B370" t="str">
            <v>L.T. 2 Core Cable 2.5 sqmm Un-armoured</v>
          </cell>
          <cell r="C370" t="str">
            <v>Mtr</v>
          </cell>
          <cell r="F370">
            <v>51</v>
          </cell>
          <cell r="H370" t="str">
            <v>*</v>
          </cell>
        </row>
        <row r="371">
          <cell r="B371" t="str">
            <v>L.T. 2 Core Cable 4 sqmm Armoured</v>
          </cell>
          <cell r="C371" t="str">
            <v>Mtr</v>
          </cell>
          <cell r="F371">
            <v>85</v>
          </cell>
          <cell r="H371" t="str">
            <v>*</v>
          </cell>
        </row>
        <row r="372">
          <cell r="B372" t="str">
            <v>L.T. 2 Core Cable 4 sqmm Un-armoured</v>
          </cell>
          <cell r="C372" t="str">
            <v>Mtr</v>
          </cell>
          <cell r="F372">
            <v>55</v>
          </cell>
          <cell r="H372" t="str">
            <v>*</v>
          </cell>
        </row>
        <row r="373">
          <cell r="B373" t="str">
            <v>L.T. Feedar Pillar 4 Way</v>
          </cell>
          <cell r="C373" t="str">
            <v>No</v>
          </cell>
          <cell r="F373">
            <v>23595</v>
          </cell>
          <cell r="H373" t="str">
            <v>*</v>
          </cell>
        </row>
        <row r="374">
          <cell r="B374" t="str">
            <v>L.T. Feedar Pillar 6 Way</v>
          </cell>
          <cell r="C374" t="str">
            <v>No</v>
          </cell>
          <cell r="F374">
            <v>30855</v>
          </cell>
          <cell r="H374" t="str">
            <v>*</v>
          </cell>
        </row>
        <row r="375">
          <cell r="B375" t="str">
            <v>L.T. Four pin cross arm with clamp</v>
          </cell>
          <cell r="C375" t="str">
            <v>No</v>
          </cell>
          <cell r="F375">
            <v>532</v>
          </cell>
          <cell r="H375" t="str">
            <v>*</v>
          </cell>
        </row>
        <row r="376">
          <cell r="B376" t="str">
            <v xml:space="preserve">L.T. Mini Feedar Pillar </v>
          </cell>
          <cell r="C376" t="str">
            <v>No</v>
          </cell>
          <cell r="F376">
            <v>9075</v>
          </cell>
          <cell r="H376" t="str">
            <v>*</v>
          </cell>
        </row>
        <row r="377">
          <cell r="B377" t="str">
            <v>L.T. PVC armoured cable 2/C 50 Sq.mm</v>
          </cell>
          <cell r="C377" t="str">
            <v>mtr</v>
          </cell>
          <cell r="F377">
            <v>116</v>
          </cell>
          <cell r="H377" t="str">
            <v>*</v>
          </cell>
        </row>
        <row r="378">
          <cell r="B378" t="str">
            <v xml:space="preserve">L.T. Shackle Hardware  </v>
          </cell>
          <cell r="C378" t="str">
            <v>Pair</v>
          </cell>
          <cell r="F378">
            <v>29</v>
          </cell>
          <cell r="H378" t="str">
            <v>*</v>
          </cell>
        </row>
        <row r="379">
          <cell r="B379" t="str">
            <v>L.T. Stay Insulators     [ Firm Price ]</v>
          </cell>
          <cell r="C379" t="str">
            <v>No</v>
          </cell>
          <cell r="F379">
            <v>12</v>
          </cell>
          <cell r="H379" t="str">
            <v>*</v>
          </cell>
        </row>
        <row r="380">
          <cell r="B380" t="str">
            <v>L.T. Two pin cross arm with clamp</v>
          </cell>
          <cell r="C380" t="str">
            <v>No</v>
          </cell>
          <cell r="F380">
            <v>363</v>
          </cell>
          <cell r="H380" t="str">
            <v>*</v>
          </cell>
        </row>
        <row r="381">
          <cell r="B381" t="str">
            <v xml:space="preserve">LT  CTs ( Ring Type ) </v>
          </cell>
          <cell r="C381" t="str">
            <v>No</v>
          </cell>
          <cell r="F381">
            <v>2420</v>
          </cell>
          <cell r="H381" t="str">
            <v>*</v>
          </cell>
        </row>
        <row r="382">
          <cell r="B382" t="str">
            <v>LT Dist. Box 25 KVA With Kitkat</v>
          </cell>
          <cell r="C382" t="str">
            <v>No</v>
          </cell>
          <cell r="F382">
            <v>16175.37</v>
          </cell>
          <cell r="H382" t="str">
            <v>*</v>
          </cell>
        </row>
        <row r="383">
          <cell r="B383" t="str">
            <v>LT Dist. Box 25 KVA With MCCB</v>
          </cell>
          <cell r="C383" t="str">
            <v>No</v>
          </cell>
          <cell r="F383">
            <v>19058.740000000002</v>
          </cell>
          <cell r="H383" t="str">
            <v>*</v>
          </cell>
        </row>
        <row r="384">
          <cell r="B384" t="str">
            <v>LT Feeder Pillar 2/3 Way</v>
          </cell>
          <cell r="C384" t="str">
            <v>No</v>
          </cell>
          <cell r="F384">
            <v>16335</v>
          </cell>
          <cell r="H384" t="str">
            <v>*</v>
          </cell>
        </row>
        <row r="385">
          <cell r="B385" t="str">
            <v>LT Feeder Pillar 6 Way</v>
          </cell>
          <cell r="C385" t="str">
            <v>No</v>
          </cell>
          <cell r="F385">
            <v>30855</v>
          </cell>
          <cell r="H385" t="str">
            <v>*</v>
          </cell>
        </row>
        <row r="386">
          <cell r="B386" t="str">
            <v>LT Feeder Pillar 8 Way</v>
          </cell>
          <cell r="C386" t="str">
            <v>No</v>
          </cell>
          <cell r="F386">
            <v>36300</v>
          </cell>
          <cell r="H386" t="str">
            <v>*</v>
          </cell>
        </row>
        <row r="387">
          <cell r="B387" t="str">
            <v>LT XLPE Armoured Cable 3 1/2C X 120 Sq mm</v>
          </cell>
          <cell r="C387" t="str">
            <v>Mtr</v>
          </cell>
          <cell r="F387">
            <v>367</v>
          </cell>
          <cell r="H387" t="str">
            <v>*</v>
          </cell>
        </row>
        <row r="388">
          <cell r="B388" t="str">
            <v>L.T. XLPE Armoured cable 4core 16sq.mm.</v>
          </cell>
          <cell r="C388" t="str">
            <v>RMT</v>
          </cell>
          <cell r="F388">
            <v>74.911468184</v>
          </cell>
          <cell r="H388" t="str">
            <v>*</v>
          </cell>
        </row>
        <row r="389">
          <cell r="B389" t="str">
            <v>L.T. XLPE armoured cable 3 1/2 C 50 sq.mm.</v>
          </cell>
          <cell r="C389" t="str">
            <v>RMT</v>
          </cell>
          <cell r="F389">
            <v>144.09739661200001</v>
          </cell>
          <cell r="H389" t="str">
            <v>*</v>
          </cell>
        </row>
        <row r="390">
          <cell r="B390" t="str">
            <v>M.S.Flat 50 x 6 mm</v>
          </cell>
          <cell r="C390" t="str">
            <v>Kg</v>
          </cell>
          <cell r="F390">
            <v>44.66</v>
          </cell>
          <cell r="H390" t="str">
            <v>*</v>
          </cell>
        </row>
        <row r="391">
          <cell r="B391" t="str">
            <v>M.S.Plate 10 mm Thick Size 1' x 1 '</v>
          </cell>
          <cell r="C391" t="str">
            <v>Kg</v>
          </cell>
          <cell r="F391">
            <v>47.05</v>
          </cell>
          <cell r="H391" t="str">
            <v>*</v>
          </cell>
        </row>
        <row r="392">
          <cell r="B392" t="str">
            <v>Marshalling Box</v>
          </cell>
          <cell r="C392" t="str">
            <v>No</v>
          </cell>
          <cell r="F392">
            <v>5445</v>
          </cell>
          <cell r="H392" t="str">
            <v>*</v>
          </cell>
        </row>
        <row r="393">
          <cell r="B393" t="str">
            <v>MS angle 50x50x6 mm</v>
          </cell>
          <cell r="C393" t="str">
            <v>Kg</v>
          </cell>
          <cell r="F393">
            <v>47.05</v>
          </cell>
          <cell r="H393" t="str">
            <v>*</v>
          </cell>
        </row>
        <row r="394">
          <cell r="B394" t="str">
            <v>MS Channel 100x50x6 mm</v>
          </cell>
          <cell r="C394" t="str">
            <v>Kg</v>
          </cell>
          <cell r="F394">
            <v>47.05</v>
          </cell>
          <cell r="H394" t="str">
            <v>*</v>
          </cell>
        </row>
        <row r="395">
          <cell r="B395" t="str">
            <v>M.S.Channel 75x40x6 mm</v>
          </cell>
          <cell r="C395" t="str">
            <v>Kg</v>
          </cell>
          <cell r="F395">
            <v>47.05</v>
          </cell>
          <cell r="H395" t="str">
            <v>*</v>
          </cell>
        </row>
        <row r="396">
          <cell r="B396" t="str">
            <v>M.S. Angel(75 X 40 mm)</v>
          </cell>
          <cell r="C396" t="str">
            <v>Kg</v>
          </cell>
          <cell r="F396">
            <v>47.05</v>
          </cell>
          <cell r="H396" t="str">
            <v>*</v>
          </cell>
        </row>
        <row r="397">
          <cell r="B397" t="str">
            <v>M.S. Flats(50 X 10mm)</v>
          </cell>
          <cell r="C397" t="str">
            <v>Kg</v>
          </cell>
          <cell r="F397">
            <v>44.06</v>
          </cell>
          <cell r="H397" t="str">
            <v>*</v>
          </cell>
        </row>
        <row r="398">
          <cell r="B398" t="str">
            <v>MS Flat 50 X 8 mm</v>
          </cell>
          <cell r="C398" t="str">
            <v>Kg</v>
          </cell>
          <cell r="F398">
            <v>44.06</v>
          </cell>
          <cell r="H398" t="str">
            <v>*</v>
          </cell>
        </row>
        <row r="399">
          <cell r="B399" t="str">
            <v>MS Flat 75x10 mm</v>
          </cell>
          <cell r="C399" t="str">
            <v>Kg</v>
          </cell>
          <cell r="F399">
            <v>44.06</v>
          </cell>
          <cell r="H399" t="str">
            <v>*</v>
          </cell>
        </row>
        <row r="400">
          <cell r="B400" t="str">
            <v>MS Flat 80x10 mm</v>
          </cell>
          <cell r="C400" t="str">
            <v>Kg</v>
          </cell>
          <cell r="F400">
            <v>44.06</v>
          </cell>
          <cell r="H400" t="str">
            <v>*</v>
          </cell>
        </row>
        <row r="401">
          <cell r="B401" t="str">
            <v>Oil paint</v>
          </cell>
          <cell r="C401" t="str">
            <v>Kg</v>
          </cell>
          <cell r="F401">
            <v>302</v>
          </cell>
          <cell r="H401" t="str">
            <v>*</v>
          </cell>
        </row>
        <row r="402">
          <cell r="B402" t="str">
            <v>Power Transformer 22/11 KV,   5 MVA (DY-11)</v>
          </cell>
          <cell r="C402" t="str">
            <v>No</v>
          </cell>
          <cell r="F402">
            <v>3658441.5999999996</v>
          </cell>
          <cell r="H402" t="str">
            <v>*</v>
          </cell>
        </row>
        <row r="403">
          <cell r="B403" t="str">
            <v>Power Transformer 22/11 KV,   10 MVA (DY-11)</v>
          </cell>
          <cell r="C403" t="str">
            <v>No</v>
          </cell>
          <cell r="F403">
            <v>5651708</v>
          </cell>
          <cell r="H403" t="str">
            <v>*</v>
          </cell>
        </row>
        <row r="404">
          <cell r="B404" t="str">
            <v>Power Transformer 22/11 KV,   10 MVA (DZ-10)</v>
          </cell>
          <cell r="C404" t="str">
            <v>No</v>
          </cell>
          <cell r="F404">
            <v>7200000</v>
          </cell>
          <cell r="H404" t="str">
            <v>*</v>
          </cell>
        </row>
        <row r="405">
          <cell r="B405" t="str">
            <v>Plinth for station Transformer</v>
          </cell>
          <cell r="C405" t="str">
            <v>Cmtr</v>
          </cell>
          <cell r="F405">
            <v>4818</v>
          </cell>
          <cell r="H405" t="str">
            <v>*</v>
          </cell>
        </row>
        <row r="406">
          <cell r="B406" t="str">
            <v>PSC Pole 8 Mtr (200 KG)</v>
          </cell>
          <cell r="C406" t="str">
            <v>No</v>
          </cell>
          <cell r="D406">
            <v>1539</v>
          </cell>
          <cell r="E406">
            <v>190.22040000000001</v>
          </cell>
          <cell r="F406">
            <v>1729.2203999999999</v>
          </cell>
          <cell r="H406" t="str">
            <v>X</v>
          </cell>
        </row>
        <row r="407">
          <cell r="B407" t="str">
            <v>PSC Pole 8 Mtr (140 KG)</v>
          </cell>
          <cell r="C407" t="str">
            <v>No</v>
          </cell>
          <cell r="D407">
            <v>1495</v>
          </cell>
          <cell r="E407">
            <v>184.78200000000001</v>
          </cell>
          <cell r="F407">
            <v>1679.7819999999999</v>
          </cell>
          <cell r="H407" t="str">
            <v>X</v>
          </cell>
        </row>
        <row r="408">
          <cell r="B408" t="str">
            <v>PSC Pole 9 Mtr (200 KG)</v>
          </cell>
          <cell r="C408" t="str">
            <v>No</v>
          </cell>
          <cell r="D408">
            <v>1989</v>
          </cell>
          <cell r="E408">
            <v>245.84040000000002</v>
          </cell>
          <cell r="F408">
            <v>2234.8404</v>
          </cell>
          <cell r="H408" t="str">
            <v>X</v>
          </cell>
        </row>
        <row r="409">
          <cell r="B409" t="str">
            <v>R.C.C. Pipe 150 mm 2 M</v>
          </cell>
          <cell r="C409" t="str">
            <v>No</v>
          </cell>
          <cell r="F409">
            <v>527</v>
          </cell>
          <cell r="H409" t="str">
            <v>*</v>
          </cell>
        </row>
        <row r="410">
          <cell r="B410" t="str">
            <v>R.C.C. Pipe 200 mm 2 M</v>
          </cell>
          <cell r="C410" t="str">
            <v>No</v>
          </cell>
          <cell r="F410">
            <v>527</v>
          </cell>
          <cell r="H410" t="str">
            <v>*</v>
          </cell>
        </row>
        <row r="411">
          <cell r="B411" t="str">
            <v>RCC  Tiles (0.6 x 0.5) Mtrs.</v>
          </cell>
          <cell r="C411" t="str">
            <v>No</v>
          </cell>
          <cell r="F411">
            <v>95</v>
          </cell>
          <cell r="H411" t="str">
            <v>*</v>
          </cell>
        </row>
        <row r="412">
          <cell r="B412" t="str">
            <v>RCC Ring work for earthing pits</v>
          </cell>
          <cell r="C412" t="str">
            <v>No.</v>
          </cell>
          <cell r="F412">
            <v>242</v>
          </cell>
          <cell r="H412" t="str">
            <v>*</v>
          </cell>
        </row>
        <row r="413">
          <cell r="B413" t="str">
            <v>RCC  half round pipe (1mtr)</v>
          </cell>
          <cell r="C413" t="str">
            <v>No.</v>
          </cell>
          <cell r="F413">
            <v>94</v>
          </cell>
          <cell r="H413" t="str">
            <v>*</v>
          </cell>
        </row>
        <row r="414">
          <cell r="B414" t="str">
            <v>Red Oxide Paint for 2 coats</v>
          </cell>
          <cell r="C414" t="str">
            <v>Ltr</v>
          </cell>
          <cell r="F414">
            <v>56</v>
          </cell>
          <cell r="H414" t="str">
            <v>*</v>
          </cell>
        </row>
        <row r="415">
          <cell r="B415" t="str">
            <v>Reel Insulator 25 / 20 mm</v>
          </cell>
          <cell r="C415" t="str">
            <v>No</v>
          </cell>
          <cell r="F415">
            <v>1.65</v>
          </cell>
          <cell r="H415" t="str">
            <v>*</v>
          </cell>
        </row>
        <row r="416">
          <cell r="B416" t="str">
            <v>Salt</v>
          </cell>
          <cell r="C416" t="str">
            <v>Kg</v>
          </cell>
          <cell r="F416">
            <v>4</v>
          </cell>
          <cell r="H416" t="str">
            <v>*</v>
          </cell>
        </row>
        <row r="417">
          <cell r="B417" t="str">
            <v>Silver paint</v>
          </cell>
          <cell r="C417" t="str">
            <v>Ltr</v>
          </cell>
          <cell r="F417">
            <v>97</v>
          </cell>
          <cell r="H417" t="str">
            <v>*</v>
          </cell>
        </row>
        <row r="418">
          <cell r="B418" t="str">
            <v>Sleve Joints</v>
          </cell>
          <cell r="C418" t="str">
            <v>No</v>
          </cell>
          <cell r="F418">
            <v>121</v>
          </cell>
          <cell r="H418" t="str">
            <v>*</v>
          </cell>
        </row>
        <row r="419">
          <cell r="B419" t="str">
            <v>Stay Wire 7/10</v>
          </cell>
          <cell r="C419" t="str">
            <v>Kg</v>
          </cell>
          <cell r="F419">
            <v>55</v>
          </cell>
          <cell r="H419" t="str">
            <v>*</v>
          </cell>
        </row>
        <row r="420">
          <cell r="B420" t="str">
            <v>Stay Wire 7/8</v>
          </cell>
          <cell r="C420" t="str">
            <v>Kg</v>
          </cell>
          <cell r="F420">
            <v>55</v>
          </cell>
          <cell r="H420" t="str">
            <v>*</v>
          </cell>
        </row>
        <row r="421">
          <cell r="B421" t="str">
            <v>Steel - Angle, Channel, Column , Structure</v>
          </cell>
          <cell r="C421" t="str">
            <v>Kg</v>
          </cell>
          <cell r="F421">
            <v>47</v>
          </cell>
          <cell r="H421" t="str">
            <v>*</v>
          </cell>
        </row>
        <row r="422">
          <cell r="B422" t="str">
            <v>Column type HG(4 Nos.)-496.0 kg.</v>
          </cell>
          <cell r="C422" t="str">
            <v>MT</v>
          </cell>
          <cell r="F422">
            <v>42245</v>
          </cell>
          <cell r="H422" t="str">
            <v>*</v>
          </cell>
        </row>
        <row r="423">
          <cell r="B423" t="str">
            <v>Beam type HA(2 Nos.)-261.0 Kg.</v>
          </cell>
          <cell r="C423" t="str">
            <v>MT</v>
          </cell>
          <cell r="F423">
            <v>42245</v>
          </cell>
          <cell r="H423" t="str">
            <v>*</v>
          </cell>
        </row>
        <row r="424">
          <cell r="B424" t="str">
            <v>Column type HG( 6Nos.)-496.0 kg.</v>
          </cell>
          <cell r="C424" t="str">
            <v>MT</v>
          </cell>
          <cell r="F424">
            <v>42245</v>
          </cell>
          <cell r="H424" t="str">
            <v>*</v>
          </cell>
        </row>
        <row r="425">
          <cell r="B425" t="str">
            <v>Beam type HA(4 Nos.)-261.0 Kg.</v>
          </cell>
          <cell r="C425" t="str">
            <v>MT</v>
          </cell>
          <cell r="F425"/>
          <cell r="H425" t="str">
            <v>*</v>
          </cell>
        </row>
        <row r="426">
          <cell r="B426" t="str">
            <v>Steel - Flat</v>
          </cell>
          <cell r="C426" t="str">
            <v>Kg</v>
          </cell>
          <cell r="F426">
            <v>44.06</v>
          </cell>
          <cell r="H426" t="str">
            <v>*</v>
          </cell>
        </row>
        <row r="427">
          <cell r="B427" t="str">
            <v>Strain Hardware for 30 Sq mm ACSR Conductor</v>
          </cell>
          <cell r="C427" t="str">
            <v>Set</v>
          </cell>
          <cell r="F427">
            <v>150.28</v>
          </cell>
          <cell r="H427" t="str">
            <v>*</v>
          </cell>
        </row>
        <row r="428">
          <cell r="B428" t="str">
            <v>Strain Hardware for 55 Sq.mm AAAC</v>
          </cell>
          <cell r="C428" t="str">
            <v>Set</v>
          </cell>
          <cell r="F428">
            <v>161.72999999999999</v>
          </cell>
          <cell r="H428" t="str">
            <v>*</v>
          </cell>
        </row>
        <row r="429">
          <cell r="B429" t="str">
            <v>Strain Hardware for 34 Sq.mm AAAC</v>
          </cell>
          <cell r="C429" t="str">
            <v>Set</v>
          </cell>
          <cell r="F429">
            <v>161.72999999999999</v>
          </cell>
          <cell r="H429" t="str">
            <v>*</v>
          </cell>
        </row>
        <row r="430">
          <cell r="B430" t="str">
            <v>Strain Hardware for 80 Sq mm</v>
          </cell>
          <cell r="C430" t="str">
            <v>Set</v>
          </cell>
          <cell r="F430">
            <v>273.89</v>
          </cell>
          <cell r="H430" t="str">
            <v>*</v>
          </cell>
        </row>
        <row r="431">
          <cell r="B431" t="str">
            <v>Structure for 22 KV PT</v>
          </cell>
          <cell r="C431" t="str">
            <v>Kg.</v>
          </cell>
          <cell r="F431">
            <v>47.05</v>
          </cell>
          <cell r="H431" t="str">
            <v>*</v>
          </cell>
        </row>
        <row r="432">
          <cell r="B432" t="str">
            <v>Structure for 22 KV CT</v>
          </cell>
          <cell r="C432" t="str">
            <v>Kg.</v>
          </cell>
          <cell r="F432">
            <v>47.05</v>
          </cell>
          <cell r="H432" t="str">
            <v>*</v>
          </cell>
        </row>
        <row r="433">
          <cell r="B433" t="str">
            <v>Structure for 22 KV L.A.</v>
          </cell>
          <cell r="C433" t="str">
            <v>Kg.</v>
          </cell>
          <cell r="F433">
            <v>47.05</v>
          </cell>
          <cell r="H433" t="str">
            <v>*</v>
          </cell>
        </row>
        <row r="434">
          <cell r="B434" t="str">
            <v>Structure for 22 KV H/G.</v>
          </cell>
          <cell r="C434" t="str">
            <v>Kg.</v>
          </cell>
          <cell r="F434">
            <v>47.05</v>
          </cell>
          <cell r="H434" t="str">
            <v>*</v>
          </cell>
        </row>
        <row r="435">
          <cell r="B435" t="str">
            <v>Structure for 11 KV PT</v>
          </cell>
          <cell r="C435" t="str">
            <v>Kg.</v>
          </cell>
          <cell r="F435">
            <v>47.05</v>
          </cell>
          <cell r="H435" t="str">
            <v>*</v>
          </cell>
        </row>
        <row r="436">
          <cell r="B436" t="str">
            <v>Structure for 11 KV CT</v>
          </cell>
          <cell r="C436" t="str">
            <v>Kg.</v>
          </cell>
          <cell r="F436">
            <v>47.05</v>
          </cell>
          <cell r="H436" t="str">
            <v>*</v>
          </cell>
        </row>
        <row r="437">
          <cell r="B437" t="str">
            <v>Structure for 11 KV L.A.</v>
          </cell>
          <cell r="C437" t="str">
            <v>Kg.</v>
          </cell>
          <cell r="F437">
            <v>47.05</v>
          </cell>
          <cell r="H437" t="str">
            <v>*</v>
          </cell>
        </row>
        <row r="438">
          <cell r="B438" t="str">
            <v>Structure for 11 KV H/G.</v>
          </cell>
          <cell r="C438" t="str">
            <v>Kg.</v>
          </cell>
          <cell r="F438">
            <v>47.05</v>
          </cell>
          <cell r="H438" t="str">
            <v>*</v>
          </cell>
        </row>
        <row r="439">
          <cell r="B439" t="str">
            <v>Structure for 33 KV LA + 11/22 KV LA (155 Kg X 2)</v>
          </cell>
          <cell r="C439" t="str">
            <v>Kg.</v>
          </cell>
          <cell r="F439">
            <v>47.05</v>
          </cell>
          <cell r="H439" t="str">
            <v>*</v>
          </cell>
        </row>
        <row r="440">
          <cell r="B440" t="str">
            <v>Structure for Breaker and Capacitors</v>
          </cell>
          <cell r="C440" t="str">
            <v>Kg.</v>
          </cell>
          <cell r="F440">
            <v>47.05</v>
          </cell>
          <cell r="H440" t="str">
            <v>*</v>
          </cell>
        </row>
        <row r="441">
          <cell r="B441" t="str">
            <v>Structure for 33 KV CT</v>
          </cell>
          <cell r="C441" t="str">
            <v>Kg</v>
          </cell>
          <cell r="F441">
            <v>47.05</v>
          </cell>
          <cell r="H441" t="str">
            <v>*</v>
          </cell>
        </row>
        <row r="442">
          <cell r="B442" t="str">
            <v>Structure for 33 KV L.A.</v>
          </cell>
          <cell r="C442" t="str">
            <v>Kg</v>
          </cell>
          <cell r="F442">
            <v>47.05</v>
          </cell>
          <cell r="H442" t="str">
            <v>*</v>
          </cell>
        </row>
        <row r="443">
          <cell r="B443" t="str">
            <v>Structure for 33 KV PT</v>
          </cell>
          <cell r="C443" t="str">
            <v>Kg</v>
          </cell>
          <cell r="F443">
            <v>47.05</v>
          </cell>
          <cell r="H443" t="str">
            <v>*</v>
          </cell>
        </row>
        <row r="444">
          <cell r="B444" t="str">
            <v>Structure for Power T/F Neutral Earthing</v>
          </cell>
          <cell r="C444" t="str">
            <v>Kg</v>
          </cell>
          <cell r="F444">
            <v>47.05</v>
          </cell>
          <cell r="H444" t="str">
            <v>*</v>
          </cell>
        </row>
        <row r="445">
          <cell r="B445" t="str">
            <v>Stud Pole H.T. 100 x 116 mm RSJ Pole 11 Rmt.</v>
          </cell>
          <cell r="C445" t="str">
            <v>No</v>
          </cell>
          <cell r="F445">
            <v>10341.4874332</v>
          </cell>
          <cell r="H445" t="str">
            <v>*</v>
          </cell>
        </row>
        <row r="446">
          <cell r="B446" t="str">
            <v>Sundries such as N/B, Washers, Welding etc.</v>
          </cell>
          <cell r="C446" t="str">
            <v>L.S.</v>
          </cell>
          <cell r="F446">
            <v>2750</v>
          </cell>
          <cell r="H446" t="str">
            <v>*</v>
          </cell>
        </row>
        <row r="447">
          <cell r="B447" t="str">
            <v>Sundries e.g. Ferulls, Glands, Lugs etc.</v>
          </cell>
          <cell r="C447" t="str">
            <v>L.S.</v>
          </cell>
          <cell r="F447">
            <v>2750</v>
          </cell>
          <cell r="H447" t="str">
            <v>*</v>
          </cell>
        </row>
        <row r="448">
          <cell r="B448" t="str">
            <v>Sundries</v>
          </cell>
          <cell r="C448" t="str">
            <v>L.S.</v>
          </cell>
          <cell r="F448">
            <v>770</v>
          </cell>
          <cell r="H448" t="str">
            <v>*</v>
          </cell>
        </row>
        <row r="449">
          <cell r="B449" t="str">
            <v>T-Connector for 100 sq mm conductor</v>
          </cell>
          <cell r="C449" t="str">
            <v>No</v>
          </cell>
          <cell r="F449">
            <v>770</v>
          </cell>
          <cell r="H449" t="str">
            <v>*</v>
          </cell>
        </row>
        <row r="450">
          <cell r="B450" t="str">
            <v>T-Connector for 200 sq mm conductor(Compression type)</v>
          </cell>
          <cell r="C450" t="str">
            <v>No</v>
          </cell>
          <cell r="F450">
            <v>3520</v>
          </cell>
          <cell r="H450" t="str">
            <v>*</v>
          </cell>
        </row>
        <row r="451">
          <cell r="B451" t="str">
            <v>Tubular pole 9 Mtr. Long 88.9C, 137.7 mm</v>
          </cell>
          <cell r="C451" t="str">
            <v>No</v>
          </cell>
          <cell r="F451">
            <v>5056.2</v>
          </cell>
          <cell r="H451" t="str">
            <v>*</v>
          </cell>
        </row>
        <row r="452">
          <cell r="B452" t="str">
            <v>Wedge Connector for ANT to ANT conductor</v>
          </cell>
          <cell r="C452" t="str">
            <v>No</v>
          </cell>
          <cell r="F452">
            <v>165</v>
          </cell>
          <cell r="H452" t="str">
            <v>*</v>
          </cell>
        </row>
        <row r="453">
          <cell r="B453" t="str">
            <v>Wedge Connector for GANT to GANT conductor</v>
          </cell>
          <cell r="C453" t="str">
            <v>No</v>
          </cell>
          <cell r="F453">
            <v>165</v>
          </cell>
          <cell r="H453" t="str">
            <v>*</v>
          </cell>
        </row>
        <row r="454">
          <cell r="B454" t="str">
            <v>Wedge Connector for Weasel to Weasel conductor</v>
          </cell>
          <cell r="C454" t="str">
            <v>No</v>
          </cell>
          <cell r="F454">
            <v>248</v>
          </cell>
          <cell r="H454" t="str">
            <v>*</v>
          </cell>
        </row>
        <row r="455">
          <cell r="B455" t="str">
            <v>XLPE Cable 22 kV 3C 50 sq.mm.</v>
          </cell>
          <cell r="C455" t="str">
            <v>Rmt</v>
          </cell>
          <cell r="F455">
            <v>935</v>
          </cell>
          <cell r="H455" t="str">
            <v>*</v>
          </cell>
        </row>
        <row r="456">
          <cell r="B456" t="str">
            <v>Breaker Clamps</v>
          </cell>
          <cell r="C456" t="str">
            <v>Nos.</v>
          </cell>
          <cell r="F456">
            <v>1772.35</v>
          </cell>
          <cell r="H456" t="str">
            <v>*</v>
          </cell>
        </row>
        <row r="457">
          <cell r="B457" t="str">
            <v>clamps for Isolator</v>
          </cell>
          <cell r="C457" t="str">
            <v>Nos.</v>
          </cell>
          <cell r="F457">
            <v>887.6</v>
          </cell>
          <cell r="H457" t="str">
            <v>*</v>
          </cell>
        </row>
        <row r="458">
          <cell r="B458" t="str">
            <v>Clamps for CTs</v>
          </cell>
          <cell r="C458" t="str">
            <v>Nos.</v>
          </cell>
          <cell r="F458">
            <v>1239.6500000000001</v>
          </cell>
          <cell r="H458" t="str">
            <v>*</v>
          </cell>
        </row>
        <row r="459">
          <cell r="B459" t="str">
            <v>Cable Glands,rerules and tape etc.</v>
          </cell>
          <cell r="C459" t="str">
            <v>L.S.</v>
          </cell>
          <cell r="F459">
            <v>550</v>
          </cell>
          <cell r="H459" t="str">
            <v>*</v>
          </cell>
        </row>
        <row r="460">
          <cell r="B460" t="str">
            <v>Angle for fixing trays 50x50x6mm</v>
          </cell>
          <cell r="C460" t="str">
            <v>Kg.</v>
          </cell>
          <cell r="F460">
            <v>47.05</v>
          </cell>
          <cell r="H460" t="str">
            <v>*</v>
          </cell>
        </row>
        <row r="461">
          <cell r="B461" t="str">
            <v>M.S.Flat 25x6 mm</v>
          </cell>
          <cell r="C461" t="str">
            <v>Kg.</v>
          </cell>
          <cell r="F461">
            <v>44.06</v>
          </cell>
          <cell r="H461" t="str">
            <v>*</v>
          </cell>
        </row>
        <row r="462">
          <cell r="B462" t="str">
            <v>Hiring of Welding machine</v>
          </cell>
          <cell r="C462" t="str">
            <v>Nos.</v>
          </cell>
          <cell r="F462">
            <v>220</v>
          </cell>
          <cell r="H462" t="str">
            <v>*</v>
          </cell>
        </row>
        <row r="463">
          <cell r="B463" t="str">
            <v>Brick &amp; Masonary works for earthing pit</v>
          </cell>
          <cell r="C463" t="str">
            <v>Nos.</v>
          </cell>
          <cell r="F463">
            <v>1432</v>
          </cell>
          <cell r="H463" t="str">
            <v>*</v>
          </cell>
        </row>
        <row r="464">
          <cell r="B464" t="str">
            <v>Control Cable 2/4 sq.mm.</v>
          </cell>
          <cell r="C464" t="str">
            <v>Rmt.</v>
          </cell>
          <cell r="F464">
            <v>77</v>
          </cell>
          <cell r="H464" t="str">
            <v>*</v>
          </cell>
        </row>
        <row r="465">
          <cell r="B465" t="str">
            <v>Painting/Hardware &amp; support with numbering of pole</v>
          </cell>
          <cell r="C465" t="str">
            <v>L.S.</v>
          </cell>
          <cell r="F465">
            <v>220</v>
          </cell>
          <cell r="H465" t="str">
            <v>*</v>
          </cell>
        </row>
        <row r="466">
          <cell r="B466" t="str">
            <v>Painting of Supports &amp; fabricated materials</v>
          </cell>
          <cell r="C466" t="str">
            <v>L.S.</v>
          </cell>
          <cell r="F466">
            <v>154</v>
          </cell>
          <cell r="H466" t="str">
            <v>*</v>
          </cell>
        </row>
        <row r="467">
          <cell r="B467" t="str">
            <v>ACSR 80 mm2 (Raccoon)/AAAC equivalent</v>
          </cell>
          <cell r="C467" t="str">
            <v>Rmt.</v>
          </cell>
          <cell r="F467">
            <v>47.065200000000004</v>
          </cell>
          <cell r="H467" t="str">
            <v>*</v>
          </cell>
        </row>
        <row r="468">
          <cell r="B468" t="str">
            <v xml:space="preserve">LT Shackle  Insulator </v>
          </cell>
          <cell r="C468" t="str">
            <v>No.</v>
          </cell>
          <cell r="F468">
            <v>6</v>
          </cell>
          <cell r="H468" t="str">
            <v>*</v>
          </cell>
        </row>
        <row r="469">
          <cell r="B469" t="str">
            <v>Jointing Sleeves for AAC</v>
          </cell>
          <cell r="C469" t="str">
            <v>No.</v>
          </cell>
          <cell r="F469">
            <v>33</v>
          </cell>
          <cell r="H469" t="str">
            <v>*</v>
          </cell>
        </row>
        <row r="470">
          <cell r="B470" t="str">
            <v>Backfilling of supports with Boulders.</v>
          </cell>
          <cell r="C470" t="str">
            <v>No.</v>
          </cell>
          <cell r="F470">
            <v>40</v>
          </cell>
          <cell r="H470" t="str">
            <v>*</v>
          </cell>
        </row>
        <row r="471">
          <cell r="B471" t="str">
            <v>22 KV st. through joints  for 3 C / 240 mm sq.</v>
          </cell>
          <cell r="C471" t="str">
            <v>No.</v>
          </cell>
          <cell r="F471">
            <v>14850</v>
          </cell>
          <cell r="H471" t="str">
            <v>*</v>
          </cell>
        </row>
        <row r="472">
          <cell r="B472" t="str">
            <v>Misc. ( Bricks,sand,tremination kit and etc.)</v>
          </cell>
          <cell r="C472" t="str">
            <v>L.S.</v>
          </cell>
          <cell r="F472">
            <v>24200</v>
          </cell>
          <cell r="H472" t="str">
            <v>*</v>
          </cell>
        </row>
        <row r="473">
          <cell r="B473" t="str">
            <v>22 KV st. through joints  for 3 C / 300 mm sq.</v>
          </cell>
          <cell r="C473" t="str">
            <v>No.</v>
          </cell>
          <cell r="F473">
            <v>15444</v>
          </cell>
          <cell r="H473" t="str">
            <v>*</v>
          </cell>
        </row>
        <row r="474">
          <cell r="B474" t="str">
            <v>Suspension Hardware for 55 sq mm Condr.</v>
          </cell>
          <cell r="C474" t="str">
            <v>No.</v>
          </cell>
          <cell r="F474">
            <v>165</v>
          </cell>
          <cell r="H474" t="str">
            <v>*</v>
          </cell>
        </row>
        <row r="475">
          <cell r="B475" t="str">
            <v>11 KV R.V.T.</v>
          </cell>
          <cell r="C475" t="str">
            <v>No.</v>
          </cell>
          <cell r="F475">
            <v>25626</v>
          </cell>
          <cell r="H475" t="str">
            <v>*</v>
          </cell>
        </row>
        <row r="476">
          <cell r="B476" t="str">
            <v>11 kV, Single phase, outdoor NCT</v>
          </cell>
          <cell r="C476" t="str">
            <v>No.</v>
          </cell>
          <cell r="F476">
            <v>27500</v>
          </cell>
          <cell r="H476" t="str">
            <v>*</v>
          </cell>
        </row>
        <row r="477">
          <cell r="B477" t="str">
            <v>22 kV, Single phase, outdoor NCT</v>
          </cell>
          <cell r="C477" t="str">
            <v>No.</v>
          </cell>
          <cell r="F477">
            <v>33000</v>
          </cell>
          <cell r="H477" t="str">
            <v>*</v>
          </cell>
        </row>
        <row r="478">
          <cell r="B478" t="str">
            <v>Tension Hardware  for 100 sq.mm Conductor.</v>
          </cell>
          <cell r="C478" t="str">
            <v>No.</v>
          </cell>
          <cell r="F478">
            <v>354.72051999999996</v>
          </cell>
          <cell r="H478" t="str">
            <v>*</v>
          </cell>
        </row>
        <row r="479">
          <cell r="B479" t="str">
            <v>Tension Hardware  for 200 sq.mm Conductor.</v>
          </cell>
          <cell r="C479" t="str">
            <v>No.</v>
          </cell>
          <cell r="F479">
            <v>671.42965200000003</v>
          </cell>
          <cell r="H479" t="str">
            <v>*</v>
          </cell>
        </row>
        <row r="480">
          <cell r="B480" t="str">
            <v>ACSR  80 sqmm</v>
          </cell>
          <cell r="C480" t="str">
            <v>Rmt</v>
          </cell>
          <cell r="F480">
            <v>55</v>
          </cell>
          <cell r="H480" t="str">
            <v>*</v>
          </cell>
        </row>
        <row r="481">
          <cell r="B481" t="str">
            <v>11 KV Ring main unit with Vaccum /SF6 /Air break switch &amp; two isolators for the same.</v>
          </cell>
          <cell r="C481" t="str">
            <v>Set</v>
          </cell>
          <cell r="F481">
            <v>325851.47194000002</v>
          </cell>
          <cell r="H481" t="str">
            <v>*</v>
          </cell>
        </row>
        <row r="482">
          <cell r="B482" t="str">
            <v xml:space="preserve">Strain Hardware for0.2 ACSR for twin conductor </v>
          </cell>
          <cell r="C482" t="str">
            <v>Nos.</v>
          </cell>
          <cell r="F482">
            <v>592.72</v>
          </cell>
          <cell r="H482" t="str">
            <v>*</v>
          </cell>
        </row>
        <row r="483">
          <cell r="B483" t="str">
            <v>PVC pipe 110 mm dia 4Kg/sqcm pressure</v>
          </cell>
          <cell r="C483" t="str">
            <v>Rmt</v>
          </cell>
          <cell r="F483">
            <v>88</v>
          </cell>
          <cell r="H483" t="str">
            <v>*</v>
          </cell>
        </row>
        <row r="484">
          <cell r="B484" t="str">
            <v>Misc</v>
          </cell>
          <cell r="C484" t="str">
            <v>LS</v>
          </cell>
          <cell r="F484">
            <v>440</v>
          </cell>
          <cell r="H484" t="str">
            <v>*</v>
          </cell>
        </row>
        <row r="485">
          <cell r="B485" t="str">
            <v>Replacement of Control Panel 22 KV</v>
          </cell>
          <cell r="C485" t="str">
            <v>Set</v>
          </cell>
          <cell r="F485">
            <v>74221.08</v>
          </cell>
          <cell r="H485" t="str">
            <v>*</v>
          </cell>
        </row>
        <row r="486">
          <cell r="B486" t="str">
            <v>Re - earthing</v>
          </cell>
          <cell r="C486" t="str">
            <v>No</v>
          </cell>
          <cell r="F486">
            <v>69234</v>
          </cell>
          <cell r="H486" t="str">
            <v>*</v>
          </cell>
        </row>
        <row r="487">
          <cell r="B487" t="str">
            <v>11 KV Annunciator Panel</v>
          </cell>
          <cell r="C487" t="str">
            <v>No.</v>
          </cell>
          <cell r="F487">
            <v>5500</v>
          </cell>
          <cell r="H487" t="str">
            <v>*</v>
          </cell>
        </row>
        <row r="488">
          <cell r="B488" t="str">
            <v>HT Pillar 22 KV</v>
          </cell>
          <cell r="C488" t="str">
            <v>No.</v>
          </cell>
          <cell r="F488">
            <v>74800</v>
          </cell>
          <cell r="H488" t="str">
            <v>*</v>
          </cell>
        </row>
        <row r="489">
          <cell r="B489" t="str">
            <v>8 way feeder pillar with ACB</v>
          </cell>
          <cell r="C489" t="str">
            <v>No.</v>
          </cell>
          <cell r="F489">
            <v>91300</v>
          </cell>
          <cell r="H489" t="str">
            <v>*</v>
          </cell>
        </row>
        <row r="490">
          <cell r="B490" t="str">
            <v>6 way feeder pillar with ACB</v>
          </cell>
          <cell r="C490" t="str">
            <v>No.</v>
          </cell>
          <cell r="F490">
            <v>75900</v>
          </cell>
          <cell r="H490" t="str">
            <v>*</v>
          </cell>
        </row>
        <row r="491">
          <cell r="B491" t="str">
            <v>Earthing with GI pipe</v>
          </cell>
          <cell r="C491" t="str">
            <v>No.</v>
          </cell>
          <cell r="F491">
            <v>225.999</v>
          </cell>
          <cell r="H491" t="str">
            <v>*</v>
          </cell>
        </row>
        <row r="492">
          <cell r="B492" t="str">
            <v>Earthing with GI plate</v>
          </cell>
          <cell r="C492" t="str">
            <v>No.</v>
          </cell>
          <cell r="F492">
            <v>1320</v>
          </cell>
          <cell r="H492" t="str">
            <v>*</v>
          </cell>
        </row>
        <row r="493">
          <cell r="B493" t="str">
            <v>Civil Works  20 Sq. Mtr</v>
          </cell>
          <cell r="C493" t="str">
            <v>LS</v>
          </cell>
          <cell r="F493">
            <v>275000</v>
          </cell>
          <cell r="H493" t="str">
            <v>*</v>
          </cell>
        </row>
        <row r="494">
          <cell r="B494" t="str">
            <v>Civil Works - Foundation Structure for Feeder Pillar,  RMU &amp; Transformer</v>
          </cell>
          <cell r="C494" t="str">
            <v>LS</v>
          </cell>
          <cell r="F494">
            <v>23100</v>
          </cell>
          <cell r="H494" t="str">
            <v>*</v>
          </cell>
        </row>
        <row r="495">
          <cell r="B495" t="str">
            <v>Dist. Transformer 995 KVA, 11/0.4 kv</v>
          </cell>
          <cell r="C495" t="str">
            <v>LS</v>
          </cell>
          <cell r="F495">
            <v>935000.00000000012</v>
          </cell>
          <cell r="H495" t="str">
            <v>*</v>
          </cell>
        </row>
        <row r="496">
          <cell r="B496" t="str">
            <v>Road resurfacing charges</v>
          </cell>
          <cell r="C496" t="str">
            <v>Rmt</v>
          </cell>
          <cell r="F496">
            <v>963</v>
          </cell>
          <cell r="H496" t="str">
            <v>*</v>
          </cell>
        </row>
        <row r="497">
          <cell r="B497" t="str">
            <v>L.T.XLPE Armoured cable 4core 16sq.mm.</v>
          </cell>
          <cell r="C497" t="str">
            <v>Rmt</v>
          </cell>
          <cell r="F497">
            <v>74.911468184</v>
          </cell>
          <cell r="H497" t="str">
            <v>*</v>
          </cell>
        </row>
        <row r="498">
          <cell r="B498" t="str">
            <v>LT Feeder pillar 4 way</v>
          </cell>
          <cell r="C498" t="str">
            <v>No</v>
          </cell>
          <cell r="F498">
            <v>21450</v>
          </cell>
          <cell r="H498" t="str">
            <v>*</v>
          </cell>
        </row>
        <row r="499">
          <cell r="B499" t="str">
            <v>11 KV Isolators with EB (400 A)</v>
          </cell>
          <cell r="C499" t="str">
            <v>No.</v>
          </cell>
          <cell r="F499">
            <v>38438</v>
          </cell>
          <cell r="H499" t="str">
            <v>*</v>
          </cell>
        </row>
        <row r="500">
          <cell r="B500" t="str">
            <v>L.T. XLPE Amourred 2C 16 Sqmm cable</v>
          </cell>
          <cell r="C500" t="str">
            <v>Rmt</v>
          </cell>
          <cell r="F500">
            <v>49.840648799999997</v>
          </cell>
          <cell r="H500" t="str">
            <v>*</v>
          </cell>
        </row>
        <row r="501">
          <cell r="B501" t="str">
            <v>Foundation for RMU</v>
          </cell>
          <cell r="C501" t="str">
            <v>LS</v>
          </cell>
          <cell r="F501">
            <v>16500</v>
          </cell>
          <cell r="H501" t="str">
            <v>*</v>
          </cell>
        </row>
        <row r="502">
          <cell r="B502" t="str">
            <v>11kV I D switchgear (1 I/c+1 B/c+4O/G)</v>
          </cell>
          <cell r="C502" t="str">
            <v>Set</v>
          </cell>
          <cell r="F502">
            <v>1739354.177000727</v>
          </cell>
          <cell r="H502" t="str">
            <v>*</v>
          </cell>
        </row>
        <row r="503">
          <cell r="B503" t="str">
            <v>Earthing HDG Flat 75 X 10 mm</v>
          </cell>
          <cell r="C503" t="str">
            <v>kg.</v>
          </cell>
          <cell r="F503">
            <v>54.06</v>
          </cell>
          <cell r="H503" t="str">
            <v>*</v>
          </cell>
        </row>
        <row r="504">
          <cell r="B504" t="str">
            <v>Earthing HDG Flat 50 X 6 mm</v>
          </cell>
          <cell r="C504" t="str">
            <v>kg.</v>
          </cell>
          <cell r="F504">
            <v>54.06</v>
          </cell>
          <cell r="H504" t="str">
            <v>*</v>
          </cell>
        </row>
        <row r="505">
          <cell r="B505" t="str">
            <v>C.I. Plates 2' X 2'</v>
          </cell>
          <cell r="C505" t="str">
            <v>No.</v>
          </cell>
          <cell r="F505">
            <v>220</v>
          </cell>
          <cell r="H505" t="str">
            <v>*</v>
          </cell>
        </row>
        <row r="506">
          <cell r="B506" t="str">
            <v>C.I. Pipes 4" dia 3 Metre Long</v>
          </cell>
          <cell r="C506" t="str">
            <v>No.</v>
          </cell>
          <cell r="F506">
            <v>6446</v>
          </cell>
          <cell r="H506" t="str">
            <v>*</v>
          </cell>
        </row>
        <row r="507">
          <cell r="B507" t="str">
            <v>Misc. for XLPE U/G Cable</v>
          </cell>
          <cell r="C507" t="str">
            <v>LS</v>
          </cell>
          <cell r="F507">
            <v>990</v>
          </cell>
          <cell r="H507" t="str">
            <v>*</v>
          </cell>
        </row>
        <row r="508">
          <cell r="B508" t="str">
            <v>Misc. ( RCC Tiles/H.R.Pipe,sand,tremination kit and etc.)</v>
          </cell>
          <cell r="C508" t="str">
            <v>L.S.</v>
          </cell>
          <cell r="F508">
            <v>156200</v>
          </cell>
          <cell r="H508" t="str">
            <v>*</v>
          </cell>
        </row>
        <row r="509">
          <cell r="B509" t="str">
            <v>Earthing materials</v>
          </cell>
          <cell r="C509" t="str">
            <v>L.S.</v>
          </cell>
          <cell r="F509">
            <v>330</v>
          </cell>
          <cell r="H509" t="str">
            <v>*</v>
          </cell>
        </row>
        <row r="512">
          <cell r="B512" t="str">
            <v>11 KV 250 MVA Indoor Switch Gears comprising of 2 Incomer and 6 Single feeder &amp; Bus Coupler  with associated C.R Panels, V.C.B. for Incoming &amp; Bus Coup.for Feeder</v>
          </cell>
          <cell r="C512" t="str">
            <v>Set</v>
          </cell>
          <cell r="F512">
            <v>2657728.3275000001</v>
          </cell>
          <cell r="H512" t="str">
            <v>*</v>
          </cell>
        </row>
        <row r="513">
          <cell r="B513" t="str">
            <v>100/1-1 A, 11 KV CT</v>
          </cell>
          <cell r="C513" t="str">
            <v>Nos.</v>
          </cell>
          <cell r="F513">
            <v>16914.7</v>
          </cell>
          <cell r="G513">
            <v>15377</v>
          </cell>
          <cell r="H513" t="str">
            <v>*</v>
          </cell>
        </row>
        <row r="514">
          <cell r="B514" t="str">
            <v>11 KV  D. O set</v>
          </cell>
          <cell r="C514" t="str">
            <v>Set.</v>
          </cell>
          <cell r="F514">
            <v>4331.8</v>
          </cell>
          <cell r="G514">
            <v>3938</v>
          </cell>
          <cell r="H514" t="str">
            <v>*</v>
          </cell>
        </row>
        <row r="515">
          <cell r="B515" t="str">
            <v>11 KV 250 MVA OD Single Feeder with Panel , Isolator CT etc</v>
          </cell>
          <cell r="C515" t="str">
            <v>Set</v>
          </cell>
          <cell r="F515">
            <v>439904.30000000005</v>
          </cell>
          <cell r="G515">
            <v>399913</v>
          </cell>
          <cell r="H515" t="str">
            <v>*</v>
          </cell>
        </row>
        <row r="516">
          <cell r="B516" t="str">
            <v>11 KV Feeder Pillar 4 Way</v>
          </cell>
          <cell r="C516" t="str">
            <v>No.</v>
          </cell>
          <cell r="F516">
            <v>78650</v>
          </cell>
          <cell r="G516">
            <v>71500</v>
          </cell>
          <cell r="H516" t="str">
            <v>*</v>
          </cell>
        </row>
        <row r="517">
          <cell r="B517" t="str">
            <v>11 KV OD type VCB with directional relay with Bus coupler complete</v>
          </cell>
          <cell r="C517" t="str">
            <v>Set</v>
          </cell>
          <cell r="F517">
            <v>652151.5</v>
          </cell>
          <cell r="G517">
            <v>592865</v>
          </cell>
          <cell r="H517" t="str">
            <v>*</v>
          </cell>
        </row>
        <row r="518">
          <cell r="B518" t="str">
            <v>11 KV VCB With C.T.; P.T&amp; Panel Indoor</v>
          </cell>
          <cell r="C518" t="str">
            <v>Set</v>
          </cell>
          <cell r="F518">
            <v>329582.44000000006</v>
          </cell>
          <cell r="G518">
            <v>299620.40000000002</v>
          </cell>
          <cell r="H518" t="str">
            <v>*</v>
          </cell>
        </row>
        <row r="519">
          <cell r="B519" t="str">
            <v>11KV HT O.S.F.</v>
          </cell>
          <cell r="C519" t="str">
            <v>Nos</v>
          </cell>
          <cell r="F519">
            <v>105270.00000000001</v>
          </cell>
          <cell r="G519">
            <v>95700</v>
          </cell>
          <cell r="H519" t="str">
            <v>*</v>
          </cell>
        </row>
        <row r="520">
          <cell r="B520" t="str">
            <v>180 KVAR, 11 KV Series Reactor</v>
          </cell>
          <cell r="C520" t="str">
            <v>Set</v>
          </cell>
          <cell r="F520">
            <v>563763.20000000007</v>
          </cell>
          <cell r="G520">
            <v>512512</v>
          </cell>
          <cell r="H520" t="str">
            <v>*</v>
          </cell>
        </row>
        <row r="521">
          <cell r="B521" t="str">
            <v>2.5 / 5 KV Megger (Mannual)</v>
          </cell>
          <cell r="C521" t="str">
            <v>No.</v>
          </cell>
          <cell r="F521">
            <v>27225.000000000004</v>
          </cell>
          <cell r="G521">
            <v>24750</v>
          </cell>
          <cell r="H521" t="str">
            <v>*</v>
          </cell>
        </row>
        <row r="522">
          <cell r="B522" t="str">
            <v>22  KV  OD  for 240  Sqmm cable (End Termination Joint)</v>
          </cell>
          <cell r="C522" t="str">
            <v>Nos</v>
          </cell>
          <cell r="F522">
            <v>13491.500000000002</v>
          </cell>
          <cell r="G522">
            <v>12265</v>
          </cell>
          <cell r="H522" t="str">
            <v>*</v>
          </cell>
        </row>
        <row r="523">
          <cell r="B523" t="str">
            <v>22 KV Post Insulator</v>
          </cell>
          <cell r="C523" t="str">
            <v>Nos</v>
          </cell>
          <cell r="F523">
            <v>907.50000000000011</v>
          </cell>
          <cell r="G523">
            <v>825</v>
          </cell>
          <cell r="H523" t="str">
            <v>*</v>
          </cell>
        </row>
        <row r="524">
          <cell r="B524" t="str">
            <v>22 KV Ring Main Unit</v>
          </cell>
          <cell r="C524" t="str">
            <v>No.</v>
          </cell>
          <cell r="F524">
            <v>423500.00000000006</v>
          </cell>
          <cell r="G524">
            <v>385000</v>
          </cell>
          <cell r="H524" t="str">
            <v>*</v>
          </cell>
        </row>
        <row r="525">
          <cell r="B525" t="str">
            <v>22 KV st. through joints  for 3 C / 95 mm sq.</v>
          </cell>
          <cell r="C525" t="str">
            <v>No</v>
          </cell>
          <cell r="F525">
            <v>13068.000000000002</v>
          </cell>
          <cell r="G525">
            <v>11880</v>
          </cell>
          <cell r="H525" t="str">
            <v>*</v>
          </cell>
        </row>
        <row r="526">
          <cell r="B526" t="str">
            <v>22 KV Str Thr Joints for  240 Sqmm cable</v>
          </cell>
          <cell r="C526" t="str">
            <v>Nos</v>
          </cell>
          <cell r="F526">
            <v>26620.000000000004</v>
          </cell>
          <cell r="G526">
            <v>24200</v>
          </cell>
          <cell r="H526" t="str">
            <v>*</v>
          </cell>
        </row>
        <row r="527">
          <cell r="B527" t="str">
            <v>22 KV Termination joint (OD)  for 3 C / 95 mm sq.</v>
          </cell>
          <cell r="C527" t="str">
            <v>No.</v>
          </cell>
          <cell r="F527">
            <v>7987.1</v>
          </cell>
          <cell r="G527">
            <v>7261</v>
          </cell>
          <cell r="H527" t="str">
            <v>*</v>
          </cell>
        </row>
        <row r="528">
          <cell r="B528" t="str">
            <v>3960 KVAR, HT Capacitor  Bank, 22 KV</v>
          </cell>
          <cell r="C528" t="str">
            <v>Set</v>
          </cell>
          <cell r="F528">
            <v>446501.00000000006</v>
          </cell>
          <cell r="G528">
            <v>405910</v>
          </cell>
          <cell r="H528" t="str">
            <v>*</v>
          </cell>
        </row>
        <row r="529">
          <cell r="B529" t="str">
            <v>500 V Megger</v>
          </cell>
          <cell r="C529" t="str">
            <v>No.</v>
          </cell>
          <cell r="F529">
            <v>1815.0000000000002</v>
          </cell>
          <cell r="G529">
            <v>1650</v>
          </cell>
          <cell r="H529" t="str">
            <v>*</v>
          </cell>
        </row>
        <row r="530">
          <cell r="B530" t="str">
            <v>ACB 800 Amp</v>
          </cell>
          <cell r="C530" t="str">
            <v>No.</v>
          </cell>
          <cell r="F530">
            <v>30704.300000000003</v>
          </cell>
          <cell r="G530">
            <v>27913</v>
          </cell>
          <cell r="H530" t="str">
            <v>*</v>
          </cell>
        </row>
        <row r="531">
          <cell r="B531" t="str">
            <v>Air Circuit Breaker 400 Amp</v>
          </cell>
          <cell r="C531" t="str">
            <v>No.</v>
          </cell>
          <cell r="F531">
            <v>29494.300000000003</v>
          </cell>
          <cell r="G531">
            <v>26813</v>
          </cell>
          <cell r="H531" t="str">
            <v>*</v>
          </cell>
        </row>
        <row r="532">
          <cell r="B532" t="str">
            <v>All Lugs (Assorted)</v>
          </cell>
          <cell r="C532" t="str">
            <v>Nos.</v>
          </cell>
          <cell r="F532">
            <v>24.200000000000003</v>
          </cell>
          <cell r="G532">
            <v>22</v>
          </cell>
          <cell r="H532" t="str">
            <v>*</v>
          </cell>
        </row>
        <row r="533">
          <cell r="B533" t="str">
            <v xml:space="preserve">Aluminium ladder (Adjustable) </v>
          </cell>
          <cell r="C533" t="str">
            <v>No.</v>
          </cell>
          <cell r="F533">
            <v>1512.5000000000002</v>
          </cell>
          <cell r="G533">
            <v>1375</v>
          </cell>
          <cell r="H533" t="str">
            <v>*</v>
          </cell>
        </row>
        <row r="534">
          <cell r="B534" t="str">
            <v>Aluminium Paint for 1 coat</v>
          </cell>
          <cell r="C534" t="str">
            <v>Ltrs</v>
          </cell>
          <cell r="F534">
            <v>96.800000000000011</v>
          </cell>
          <cell r="G534">
            <v>88</v>
          </cell>
          <cell r="H534" t="str">
            <v>*</v>
          </cell>
        </row>
        <row r="535">
          <cell r="B535" t="str">
            <v>Anti Climbing Devices</v>
          </cell>
          <cell r="C535" t="str">
            <v>No.</v>
          </cell>
          <cell r="F535">
            <v>47.300000000000004</v>
          </cell>
          <cell r="G535">
            <v>43</v>
          </cell>
          <cell r="H535" t="str">
            <v>*</v>
          </cell>
        </row>
        <row r="536">
          <cell r="B536" t="str">
            <v xml:space="preserve">Bentonite clay </v>
          </cell>
          <cell r="C536" t="str">
            <v>Kg.</v>
          </cell>
          <cell r="F536">
            <v>11</v>
          </cell>
          <cell r="G536">
            <v>11</v>
          </cell>
          <cell r="H536" t="str">
            <v>*</v>
          </cell>
        </row>
        <row r="537">
          <cell r="B537" t="str">
            <v>Binding Tape</v>
          </cell>
          <cell r="C537" t="str">
            <v>Kg</v>
          </cell>
          <cell r="F537">
            <v>44</v>
          </cell>
          <cell r="G537">
            <v>40</v>
          </cell>
          <cell r="H537" t="str">
            <v>*</v>
          </cell>
        </row>
        <row r="538">
          <cell r="B538" t="str">
            <v>Binding Wire</v>
          </cell>
          <cell r="C538" t="str">
            <v>Kg</v>
          </cell>
          <cell r="F538">
            <v>72.600000000000009</v>
          </cell>
          <cell r="G538">
            <v>66</v>
          </cell>
          <cell r="H538" t="str">
            <v>*</v>
          </cell>
        </row>
        <row r="539">
          <cell r="B539" t="str">
            <v>Capacitance meter</v>
          </cell>
          <cell r="C539" t="str">
            <v>Nos.</v>
          </cell>
          <cell r="F539">
            <v>5445</v>
          </cell>
          <cell r="G539">
            <v>4950</v>
          </cell>
          <cell r="H539" t="str">
            <v>*</v>
          </cell>
        </row>
        <row r="540">
          <cell r="B540" t="str">
            <v>Capacitor Cell 84 KVAR</v>
          </cell>
          <cell r="C540" t="str">
            <v>Nos.</v>
          </cell>
          <cell r="F540">
            <v>9075</v>
          </cell>
          <cell r="G540">
            <v>8250</v>
          </cell>
          <cell r="H540" t="str">
            <v>*</v>
          </cell>
        </row>
        <row r="541">
          <cell r="B541" t="str">
            <v>1.2 MVAr, 11 kV Capacitor Bank</v>
          </cell>
          <cell r="F541">
            <v>143019.88800000001</v>
          </cell>
          <cell r="G541">
            <v>130018.08</v>
          </cell>
          <cell r="H541" t="str">
            <v>*</v>
          </cell>
        </row>
        <row r="542">
          <cell r="B542" t="str">
            <v>3.0 MVAr, 11 kV Capacitor Bank</v>
          </cell>
          <cell r="F542">
            <v>352529.26923076942</v>
          </cell>
          <cell r="G542">
            <v>320481.15384615399</v>
          </cell>
          <cell r="H542" t="str">
            <v>*</v>
          </cell>
        </row>
        <row r="543">
          <cell r="B543" t="str">
            <v>2.4 MVAr, 11 kV Capacitor Bank</v>
          </cell>
          <cell r="F543">
            <v>290864.87692307658</v>
          </cell>
          <cell r="G543">
            <v>264422.61538461503</v>
          </cell>
          <cell r="H543" t="str">
            <v>*</v>
          </cell>
        </row>
        <row r="544">
          <cell r="B544" t="str">
            <v>Structure for Series Reactor(Set)</v>
          </cell>
          <cell r="C544" t="str">
            <v>L.S.</v>
          </cell>
          <cell r="F544">
            <v>10764.9</v>
          </cell>
          <cell r="H544" t="str">
            <v>*</v>
          </cell>
        </row>
        <row r="545">
          <cell r="B545" t="str">
            <v>0.9688 KVAr, 11 kv, 1 Ph, Al winded series reactor</v>
          </cell>
          <cell r="C545" t="str">
            <v>Set</v>
          </cell>
          <cell r="F545">
            <v>55845.730769230715</v>
          </cell>
          <cell r="G545">
            <v>50768.846153846098</v>
          </cell>
          <cell r="H545" t="str">
            <v>*</v>
          </cell>
        </row>
        <row r="546">
          <cell r="B546" t="str">
            <v>2.42 KVAr, 11 kv, 1 Ph, Al winded series reactor</v>
          </cell>
          <cell r="C546" t="str">
            <v>Set</v>
          </cell>
          <cell r="F546">
            <v>108201.58461538459</v>
          </cell>
          <cell r="G546">
            <v>98365.076923076893</v>
          </cell>
          <cell r="H546" t="str">
            <v>*</v>
          </cell>
        </row>
        <row r="547">
          <cell r="B547" t="str">
            <v>1.93 KVAr, 11 kv, 1 Ph, Al winded series reactor</v>
          </cell>
          <cell r="C547" t="str">
            <v>Set</v>
          </cell>
          <cell r="F547">
            <v>66317.561538461538</v>
          </cell>
          <cell r="G547">
            <v>60288.692307692298</v>
          </cell>
          <cell r="H547" t="str">
            <v>*</v>
          </cell>
        </row>
        <row r="548">
          <cell r="B548" t="str">
            <v>72 kVAr, 11 kV series reactor</v>
          </cell>
          <cell r="C548" t="str">
            <v>Set</v>
          </cell>
          <cell r="F548">
            <v>321351.80000000005</v>
          </cell>
          <cell r="G548">
            <v>292138</v>
          </cell>
          <cell r="H548" t="str">
            <v>*</v>
          </cell>
        </row>
        <row r="549">
          <cell r="B549" t="str">
            <v>1.2 MVAr, 22 kV Capacitor Bank</v>
          </cell>
          <cell r="F549">
            <v>264990</v>
          </cell>
          <cell r="G549">
            <v>240900</v>
          </cell>
          <cell r="H549" t="str">
            <v>*</v>
          </cell>
        </row>
        <row r="550">
          <cell r="B550" t="str">
            <v>3.0 MVAr, 22 kV Capacitor Bank</v>
          </cell>
          <cell r="F550">
            <v>490050.00000000006</v>
          </cell>
          <cell r="G550">
            <v>445500</v>
          </cell>
          <cell r="H550" t="str">
            <v>*</v>
          </cell>
        </row>
        <row r="551">
          <cell r="B551" t="str">
            <v>2.4 MVAr, 22 kV Capacitor Bank</v>
          </cell>
          <cell r="F551">
            <v>365420.00000000006</v>
          </cell>
          <cell r="G551">
            <v>332200</v>
          </cell>
          <cell r="H551" t="str">
            <v>*</v>
          </cell>
        </row>
        <row r="552">
          <cell r="B552" t="str">
            <v>Structure for Series Reactor(Set) 22 kV</v>
          </cell>
          <cell r="C552" t="str">
            <v>L.S.</v>
          </cell>
          <cell r="F552">
            <v>18150</v>
          </cell>
          <cell r="G552">
            <v>16500</v>
          </cell>
          <cell r="H552" t="str">
            <v>*</v>
          </cell>
        </row>
        <row r="553">
          <cell r="B553" t="str">
            <v>0.48 KVAr, 22 kv, 1 Ph, Al winded series reactor</v>
          </cell>
          <cell r="C553" t="str">
            <v>Set</v>
          </cell>
          <cell r="F553">
            <v>111320.00000000001</v>
          </cell>
          <cell r="G553">
            <v>101200</v>
          </cell>
          <cell r="H553" t="str">
            <v>*</v>
          </cell>
        </row>
        <row r="554">
          <cell r="B554" t="str">
            <v>0.97 KVAr, 22 kv, 1 Ph, Al winded series reactor</v>
          </cell>
          <cell r="C554" t="str">
            <v>Set</v>
          </cell>
          <cell r="F554">
            <v>145200</v>
          </cell>
          <cell r="G554">
            <v>132000</v>
          </cell>
          <cell r="H554" t="str">
            <v>*</v>
          </cell>
        </row>
        <row r="555">
          <cell r="B555" t="str">
            <v>1.32 KVAr, 22 kv, 1 Ph, Al winded series reactor</v>
          </cell>
          <cell r="C555" t="str">
            <v>Set</v>
          </cell>
          <cell r="F555">
            <v>174240</v>
          </cell>
          <cell r="G555">
            <v>158400</v>
          </cell>
          <cell r="H555" t="str">
            <v>*</v>
          </cell>
        </row>
        <row r="556">
          <cell r="B556" t="str">
            <v>79.2 kVAr, 22 kV series reactor</v>
          </cell>
          <cell r="C556" t="str">
            <v>Set</v>
          </cell>
          <cell r="F556">
            <v>526350</v>
          </cell>
          <cell r="G556">
            <v>478500</v>
          </cell>
          <cell r="H556" t="str">
            <v>*</v>
          </cell>
        </row>
        <row r="557">
          <cell r="B557" t="str">
            <v>11 kV, 110/190 V Residual voltage transformer</v>
          </cell>
          <cell r="F557">
            <v>28188.16</v>
          </cell>
          <cell r="G557">
            <v>25625.599999999999</v>
          </cell>
          <cell r="H557" t="str">
            <v>*</v>
          </cell>
        </row>
        <row r="558">
          <cell r="B558" t="str">
            <v>Clamp for 22 KV VCB</v>
          </cell>
          <cell r="C558" t="str">
            <v>No</v>
          </cell>
          <cell r="F558">
            <v>2142.91</v>
          </cell>
          <cell r="H558" t="str">
            <v>*</v>
          </cell>
        </row>
        <row r="559">
          <cell r="B559" t="str">
            <v>Clamps for 22 KV C.T.</v>
          </cell>
          <cell r="C559" t="str">
            <v>No</v>
          </cell>
          <cell r="F559">
            <v>1497.1</v>
          </cell>
          <cell r="H559" t="str">
            <v>*</v>
          </cell>
        </row>
        <row r="560">
          <cell r="B560" t="str">
            <v>Clamps for 22 KV Isolator</v>
          </cell>
          <cell r="C560" t="str">
            <v>No</v>
          </cell>
          <cell r="F560">
            <v>1071.4000000000001</v>
          </cell>
          <cell r="H560" t="str">
            <v>*</v>
          </cell>
        </row>
        <row r="561">
          <cell r="B561" t="str">
            <v>Clamps for 22 KV P.T.</v>
          </cell>
          <cell r="C561" t="str">
            <v>No</v>
          </cell>
          <cell r="F561">
            <v>1497.1</v>
          </cell>
          <cell r="H561" t="str">
            <v>*</v>
          </cell>
        </row>
        <row r="562">
          <cell r="B562" t="str">
            <v xml:space="preserve">Connectors for T/F Bushing </v>
          </cell>
          <cell r="C562" t="str">
            <v>Nos.</v>
          </cell>
          <cell r="F562">
            <v>3899.4670000000001</v>
          </cell>
          <cell r="G562">
            <v>3544.97</v>
          </cell>
          <cell r="H562" t="str">
            <v>*</v>
          </cell>
        </row>
        <row r="563">
          <cell r="B563" t="str">
            <v>CR Panel for 11 KV Capacitor bank with relay</v>
          </cell>
          <cell r="C563" t="str">
            <v>set</v>
          </cell>
          <cell r="F563">
            <v>84988.474784000005</v>
          </cell>
          <cell r="H563" t="str">
            <v>*</v>
          </cell>
        </row>
        <row r="564">
          <cell r="B564" t="str">
            <v>Control C&amp;R Panel 22 KV for feeder with accessories.</v>
          </cell>
          <cell r="C564" t="str">
            <v>Nos</v>
          </cell>
          <cell r="F564">
            <v>84988.474784000005</v>
          </cell>
          <cell r="H564" t="str">
            <v>*</v>
          </cell>
        </row>
        <row r="565">
          <cell r="B565" t="str">
            <v>CR Panel for 33/22 KV line breaker with 1/5A relay</v>
          </cell>
          <cell r="C565" t="str">
            <v>Set</v>
          </cell>
          <cell r="F565">
            <v>84988.474784000005</v>
          </cell>
          <cell r="H565" t="str">
            <v>*</v>
          </cell>
        </row>
        <row r="566">
          <cell r="B566" t="str">
            <v>Crimping of jumpers at cut points</v>
          </cell>
          <cell r="C566" t="str">
            <v>No.</v>
          </cell>
          <cell r="F566">
            <v>1452.0000000000002</v>
          </cell>
          <cell r="G566">
            <v>1320</v>
          </cell>
          <cell r="H566" t="str">
            <v>*</v>
          </cell>
        </row>
        <row r="567">
          <cell r="B567" t="str">
            <v>CT 100/5 A LT (Ring Type)</v>
          </cell>
          <cell r="C567" t="str">
            <v>Nos.</v>
          </cell>
          <cell r="F567">
            <v>2420</v>
          </cell>
          <cell r="G567">
            <v>2200</v>
          </cell>
          <cell r="H567" t="str">
            <v>*</v>
          </cell>
        </row>
        <row r="568">
          <cell r="B568" t="str">
            <v>CT 200/5 A LT (Ring Type)</v>
          </cell>
          <cell r="C568" t="str">
            <v>Nos.</v>
          </cell>
          <cell r="F568">
            <v>2420</v>
          </cell>
          <cell r="G568">
            <v>2200</v>
          </cell>
          <cell r="H568" t="str">
            <v>*</v>
          </cell>
        </row>
        <row r="569">
          <cell r="B569" t="str">
            <v>CT 200-100/1-1 A , 33 KV</v>
          </cell>
          <cell r="C569" t="str">
            <v>Nos.</v>
          </cell>
          <cell r="F569">
            <v>24200.000000000004</v>
          </cell>
          <cell r="G569">
            <v>22000</v>
          </cell>
          <cell r="H569" t="str">
            <v>*</v>
          </cell>
        </row>
        <row r="570">
          <cell r="B570" t="str">
            <v>CT 200-100/1-1 A , 22 KV</v>
          </cell>
          <cell r="C570" t="str">
            <v>Nos.</v>
          </cell>
          <cell r="F570">
            <v>24200.000000000004</v>
          </cell>
          <cell r="G570">
            <v>22000</v>
          </cell>
          <cell r="H570" t="str">
            <v>*</v>
          </cell>
        </row>
        <row r="571">
          <cell r="B571" t="str">
            <v>CT 50/5 A LT (Ring Type)</v>
          </cell>
          <cell r="C571" t="str">
            <v>Nos.</v>
          </cell>
          <cell r="F571">
            <v>2420</v>
          </cell>
          <cell r="G571">
            <v>2200</v>
          </cell>
          <cell r="H571" t="str">
            <v>*</v>
          </cell>
        </row>
        <row r="572">
          <cell r="B572" t="str">
            <v>Dicharge rod for 33 KV</v>
          </cell>
          <cell r="C572" t="str">
            <v>Set</v>
          </cell>
          <cell r="F572">
            <v>605</v>
          </cell>
          <cell r="G572">
            <v>550</v>
          </cell>
          <cell r="H572" t="str">
            <v>*</v>
          </cell>
        </row>
        <row r="573">
          <cell r="B573" t="str">
            <v>Digital Multi meter (10 Amp)</v>
          </cell>
          <cell r="C573" t="str">
            <v>No.</v>
          </cell>
          <cell r="F573">
            <v>1936.0000000000002</v>
          </cell>
          <cell r="G573">
            <v>1760</v>
          </cell>
          <cell r="H573" t="str">
            <v>*</v>
          </cell>
        </row>
        <row r="574">
          <cell r="B574" t="str">
            <v>Digital Tong tester (1000 Amp., 500 V) With associated accessories.</v>
          </cell>
          <cell r="C574" t="str">
            <v>No.</v>
          </cell>
          <cell r="F574">
            <v>2964.5000000000005</v>
          </cell>
          <cell r="G574">
            <v>2695</v>
          </cell>
          <cell r="H574" t="str">
            <v>*</v>
          </cell>
        </row>
        <row r="575">
          <cell r="B575" t="str">
            <v>Discharge rod for 11 KV</v>
          </cell>
          <cell r="C575" t="str">
            <v>Set</v>
          </cell>
          <cell r="F575">
            <v>605</v>
          </cell>
          <cell r="G575">
            <v>550</v>
          </cell>
          <cell r="H575" t="str">
            <v>*</v>
          </cell>
        </row>
        <row r="576">
          <cell r="B576" t="str">
            <v>Discharge rod for 22 KV</v>
          </cell>
          <cell r="C576" t="str">
            <v>Set</v>
          </cell>
          <cell r="F576">
            <v>605</v>
          </cell>
          <cell r="G576">
            <v>550</v>
          </cell>
          <cell r="H576" t="str">
            <v>*</v>
          </cell>
        </row>
        <row r="577">
          <cell r="B577" t="str">
            <v>DTC Metring with Box, single core L.T. XLPE cable (16 sq.mm., 120 mtr length) and other allied material.</v>
          </cell>
          <cell r="C577" t="str">
            <v>LS</v>
          </cell>
          <cell r="F577">
            <v>10289.4</v>
          </cell>
          <cell r="H577" t="str">
            <v>*</v>
          </cell>
        </row>
        <row r="578">
          <cell r="B578" t="str">
            <v>DTC Metring with Box, single core L.T. XLPE cable (35 sq.mm., 120 mtr length) and other allied material.</v>
          </cell>
          <cell r="C578" t="str">
            <v>LS</v>
          </cell>
          <cell r="F578">
            <v>12212.04</v>
          </cell>
          <cell r="H578" t="str">
            <v>*</v>
          </cell>
        </row>
        <row r="579">
          <cell r="B579" t="str">
            <v>DTC Metring with Box, single core L.T. XLPE cable (70 sq.mm., 120 mtr length) and other allied material.</v>
          </cell>
          <cell r="C579" t="str">
            <v>LS</v>
          </cell>
          <cell r="F579">
            <v>14883.72</v>
          </cell>
          <cell r="H579" t="str">
            <v>*</v>
          </cell>
        </row>
        <row r="580">
          <cell r="B580" t="str">
            <v>DTC Metring with Box, single core L.T. XLPE cable (185 sq.mm., 200 mtr length) and other allied material.</v>
          </cell>
          <cell r="C580" t="str">
            <v>LS</v>
          </cell>
          <cell r="F580">
            <v>23170.68</v>
          </cell>
          <cell r="H580" t="str">
            <v>*</v>
          </cell>
        </row>
        <row r="581">
          <cell r="B581" t="str">
            <v>DTC Metring with Box, single core L.T. XLPE cable (300 sq.mm., 280 mtr length) and other allied material.</v>
          </cell>
          <cell r="C581" t="str">
            <v>LS</v>
          </cell>
          <cell r="F581">
            <v>30886.079999999998</v>
          </cell>
          <cell r="H581" t="str">
            <v>*</v>
          </cell>
        </row>
        <row r="582">
          <cell r="B582" t="str">
            <v>DTC Metring with Box, single core L.T. XLPE cable (300 sq.mm., 320 mtr length) and other allied material for 630 KVA</v>
          </cell>
          <cell r="C582" t="str">
            <v>LS</v>
          </cell>
          <cell r="F582">
            <v>56155.159999999996</v>
          </cell>
          <cell r="H582" t="str">
            <v>*</v>
          </cell>
        </row>
        <row r="583">
          <cell r="B583" t="str">
            <v>DTC Metring with Box, single core L.T. XLPE cable (300 sq.mm., 320 mtr length) and other allied material for 995 KVA</v>
          </cell>
          <cell r="C583" t="str">
            <v>LS</v>
          </cell>
          <cell r="F583">
            <v>79664.239999999991</v>
          </cell>
          <cell r="H583" t="str">
            <v>*</v>
          </cell>
        </row>
        <row r="584">
          <cell r="B584" t="str">
            <v>Earth tester 200 Amp. 2000 Ohm</v>
          </cell>
          <cell r="C584" t="str">
            <v>Nos.</v>
          </cell>
          <cell r="F584">
            <v>9680</v>
          </cell>
          <cell r="G584">
            <v>8800</v>
          </cell>
          <cell r="H584" t="str">
            <v>*</v>
          </cell>
        </row>
        <row r="585">
          <cell r="B585" t="str">
            <v>Earthing Sets H.T with clamp</v>
          </cell>
          <cell r="C585" t="str">
            <v>Set</v>
          </cell>
          <cell r="F585">
            <v>7090.6</v>
          </cell>
          <cell r="G585">
            <v>6446</v>
          </cell>
          <cell r="H585" t="str">
            <v>*</v>
          </cell>
        </row>
        <row r="586">
          <cell r="B586" t="str">
            <v>Emergency Artificial resperation kit</v>
          </cell>
          <cell r="C586" t="str">
            <v>Set</v>
          </cell>
          <cell r="F586">
            <v>1815.0000000000002</v>
          </cell>
          <cell r="G586">
            <v>1650</v>
          </cell>
          <cell r="H586" t="str">
            <v>*</v>
          </cell>
        </row>
        <row r="587">
          <cell r="B587" t="str">
            <v>G. I Structure for 22 KV H/G.</v>
          </cell>
          <cell r="C587" t="str">
            <v>Kg.</v>
          </cell>
          <cell r="F587">
            <v>57.05</v>
          </cell>
          <cell r="H587" t="str">
            <v>*</v>
          </cell>
        </row>
        <row r="588">
          <cell r="B588" t="str">
            <v>G.I Angles (50X50X6mm) forcable tray</v>
          </cell>
          <cell r="C588" t="str">
            <v>Kg.</v>
          </cell>
          <cell r="F588">
            <v>57.05</v>
          </cell>
          <cell r="H588" t="str">
            <v>*</v>
          </cell>
        </row>
        <row r="589">
          <cell r="B589" t="str">
            <v>G.I Flat 50x10 mm</v>
          </cell>
          <cell r="C589" t="str">
            <v>Kg.</v>
          </cell>
          <cell r="F589">
            <v>54.06</v>
          </cell>
          <cell r="H589" t="str">
            <v>*</v>
          </cell>
        </row>
        <row r="590">
          <cell r="B590" t="str">
            <v>G.I Flat 75x10 mm</v>
          </cell>
          <cell r="C590" t="str">
            <v>Kg.</v>
          </cell>
          <cell r="F590">
            <v>54.06</v>
          </cell>
          <cell r="H590" t="str">
            <v>*</v>
          </cell>
        </row>
        <row r="591">
          <cell r="B591" t="str">
            <v>G.I Structure for 22 KV PT</v>
          </cell>
          <cell r="C591" t="str">
            <v>Kg.</v>
          </cell>
          <cell r="F591">
            <v>57.05</v>
          </cell>
          <cell r="H591" t="str">
            <v>*</v>
          </cell>
        </row>
        <row r="592">
          <cell r="B592" t="str">
            <v>G.I. Pipe 200 mm</v>
          </cell>
          <cell r="C592" t="str">
            <v>Mtr.</v>
          </cell>
          <cell r="F592">
            <v>225</v>
          </cell>
          <cell r="H592" t="str">
            <v>*</v>
          </cell>
        </row>
        <row r="593">
          <cell r="B593" t="str">
            <v>G.I..Flat 50 x 6 mm</v>
          </cell>
          <cell r="C593" t="str">
            <v>Kg.</v>
          </cell>
          <cell r="F593">
            <v>54.06</v>
          </cell>
          <cell r="H593" t="str">
            <v>*</v>
          </cell>
        </row>
        <row r="594">
          <cell r="B594" t="str">
            <v>G.I.Angle 50x50x6mm</v>
          </cell>
          <cell r="C594" t="str">
            <v>Kg.</v>
          </cell>
          <cell r="F594">
            <v>57.05</v>
          </cell>
          <cell r="H594" t="str">
            <v>*</v>
          </cell>
        </row>
        <row r="595">
          <cell r="B595" t="str">
            <v>G.I.Angle 75x40 mm</v>
          </cell>
          <cell r="C595" t="str">
            <v>Kg.</v>
          </cell>
          <cell r="F595">
            <v>57.05</v>
          </cell>
          <cell r="H595" t="str">
            <v>*</v>
          </cell>
        </row>
        <row r="596">
          <cell r="B596" t="str">
            <v>G.I.Channel  100x50x6mm</v>
          </cell>
          <cell r="C596" t="str">
            <v>Kg.</v>
          </cell>
          <cell r="F596">
            <v>57.05</v>
          </cell>
          <cell r="H596" t="str">
            <v>*</v>
          </cell>
        </row>
        <row r="597">
          <cell r="B597" t="str">
            <v>G.I.Channel 75x40x6mm</v>
          </cell>
          <cell r="C597" t="str">
            <v>Kg.</v>
          </cell>
          <cell r="F597">
            <v>57.05</v>
          </cell>
          <cell r="H597" t="str">
            <v>*</v>
          </cell>
        </row>
        <row r="598">
          <cell r="B598" t="str">
            <v>G.I.Strip (25 X 3 mm)</v>
          </cell>
          <cell r="C598" t="str">
            <v>Kg.</v>
          </cell>
          <cell r="F598">
            <v>57.05</v>
          </cell>
          <cell r="H598" t="str">
            <v>*</v>
          </cell>
        </row>
        <row r="599">
          <cell r="B599" t="str">
            <v>Hand Gloves</v>
          </cell>
          <cell r="C599" t="str">
            <v>Pairs</v>
          </cell>
          <cell r="F599">
            <v>787</v>
          </cell>
          <cell r="H599" t="str">
            <v>*</v>
          </cell>
        </row>
        <row r="600">
          <cell r="B600" t="str">
            <v>HT Cable Joint Chamber (Civil)</v>
          </cell>
          <cell r="C600" t="str">
            <v>Nos</v>
          </cell>
          <cell r="F600">
            <v>1100</v>
          </cell>
          <cell r="H600" t="str">
            <v>*</v>
          </cell>
        </row>
        <row r="601">
          <cell r="B601" t="str">
            <v>Jointing Slevees compression type, 80 sqmm</v>
          </cell>
          <cell r="C601" t="str">
            <v>Nos.</v>
          </cell>
          <cell r="F601">
            <v>514.25</v>
          </cell>
          <cell r="G601">
            <v>467.5</v>
          </cell>
          <cell r="H601" t="str">
            <v>*</v>
          </cell>
        </row>
        <row r="602">
          <cell r="B602" t="str">
            <v>L. T. PVC Cable 3.5 x 240 sq. mm / XLPE</v>
          </cell>
          <cell r="C602" t="str">
            <v>Rmt.</v>
          </cell>
          <cell r="F602">
            <v>601.09736280000004</v>
          </cell>
          <cell r="G602">
            <v>546.45214799999997</v>
          </cell>
          <cell r="H602" t="str">
            <v>*</v>
          </cell>
        </row>
        <row r="603">
          <cell r="B603" t="str">
            <v>L. T. PVC Cable 3.5 x 300 sq. mm / XLPE</v>
          </cell>
          <cell r="C603" t="str">
            <v>Rmt.</v>
          </cell>
          <cell r="F603">
            <v>737.67324510000003</v>
          </cell>
          <cell r="G603">
            <v>670.61204099999998</v>
          </cell>
          <cell r="H603" t="str">
            <v>*</v>
          </cell>
        </row>
        <row r="604">
          <cell r="B604" t="str">
            <v>L.T.Dist.Boxes 200 KVA with KitKat</v>
          </cell>
          <cell r="C604" t="str">
            <v>No</v>
          </cell>
          <cell r="F604">
            <v>31416.788588000003</v>
          </cell>
          <cell r="H604" t="str">
            <v>*</v>
          </cell>
        </row>
        <row r="605">
          <cell r="B605" t="str">
            <v>L.T. Feedar Pillar 6 Way With ACB</v>
          </cell>
          <cell r="C605" t="str">
            <v>No</v>
          </cell>
          <cell r="F605">
            <v>83490</v>
          </cell>
          <cell r="H605" t="str">
            <v>*</v>
          </cell>
        </row>
        <row r="606">
          <cell r="B606" t="str">
            <v>L.T. jointing kits for 120 Sqmm</v>
          </cell>
          <cell r="C606" t="str">
            <v>No</v>
          </cell>
          <cell r="F606">
            <v>605</v>
          </cell>
          <cell r="G606">
            <v>550</v>
          </cell>
          <cell r="H606" t="str">
            <v>*</v>
          </cell>
        </row>
        <row r="607">
          <cell r="B607" t="str">
            <v>LT Jointing kits  for 185 Sqmm</v>
          </cell>
          <cell r="C607" t="str">
            <v>No</v>
          </cell>
          <cell r="F607">
            <v>871.2</v>
          </cell>
          <cell r="G607">
            <v>792</v>
          </cell>
          <cell r="H607" t="str">
            <v>*</v>
          </cell>
        </row>
        <row r="608">
          <cell r="B608" t="str">
            <v>L.T. jointing kits for 95 Sqmm</v>
          </cell>
          <cell r="C608" t="str">
            <v>No</v>
          </cell>
          <cell r="F608">
            <v>544.5</v>
          </cell>
          <cell r="G608">
            <v>495</v>
          </cell>
          <cell r="H608" t="str">
            <v>*</v>
          </cell>
        </row>
        <row r="609">
          <cell r="B609" t="str">
            <v>L.T. jointing kits for 70 Sqmm</v>
          </cell>
          <cell r="C609" t="str">
            <v>No</v>
          </cell>
          <cell r="F609">
            <v>484.00000000000006</v>
          </cell>
          <cell r="G609">
            <v>440</v>
          </cell>
          <cell r="H609" t="str">
            <v>*</v>
          </cell>
        </row>
        <row r="610">
          <cell r="B610" t="str">
            <v>LT XLPE Armoured Cable 3 1/2C X 95 Sq mm</v>
          </cell>
          <cell r="C610" t="str">
            <v>Rmt</v>
          </cell>
          <cell r="F610">
            <v>236.013174386</v>
          </cell>
          <cell r="H610" t="str">
            <v>*</v>
          </cell>
        </row>
        <row r="611">
          <cell r="B611" t="str">
            <v>Earthing Set LT</v>
          </cell>
          <cell r="C611" t="str">
            <v>Nos</v>
          </cell>
          <cell r="F611">
            <v>179.9512</v>
          </cell>
          <cell r="G611">
            <v>163.59199999999998</v>
          </cell>
          <cell r="H611" t="str">
            <v>*</v>
          </cell>
        </row>
        <row r="612">
          <cell r="B612" t="str">
            <v>LT Fixed Capacitor 18 KVAR</v>
          </cell>
          <cell r="C612" t="str">
            <v>Nos.</v>
          </cell>
          <cell r="F612">
            <v>6534.0000000000009</v>
          </cell>
          <cell r="G612">
            <v>5940</v>
          </cell>
          <cell r="H612" t="str">
            <v>*</v>
          </cell>
        </row>
        <row r="613">
          <cell r="B613" t="str">
            <v>LT Fixed Capacitor 9 KVAR</v>
          </cell>
          <cell r="C613" t="str">
            <v>Nos.</v>
          </cell>
          <cell r="F613">
            <v>3267.0000000000005</v>
          </cell>
          <cell r="G613">
            <v>2970</v>
          </cell>
          <cell r="H613" t="str">
            <v>*</v>
          </cell>
        </row>
        <row r="614">
          <cell r="B614" t="str">
            <v>L.T.Spacers</v>
          </cell>
          <cell r="C614" t="str">
            <v>Nos.</v>
          </cell>
          <cell r="F614">
            <v>96.800000000000011</v>
          </cell>
          <cell r="G614">
            <v>88</v>
          </cell>
          <cell r="H614" t="str">
            <v>*</v>
          </cell>
        </row>
        <row r="615">
          <cell r="B615" t="str">
            <v>LT St.through joints for 185 sqmm</v>
          </cell>
          <cell r="C615" t="str">
            <v>No.</v>
          </cell>
          <cell r="F615">
            <v>871.2</v>
          </cell>
          <cell r="G615">
            <v>792</v>
          </cell>
          <cell r="H615" t="str">
            <v>*</v>
          </cell>
        </row>
        <row r="616">
          <cell r="B616" t="str">
            <v>LT St.through joints for 240 sqmm</v>
          </cell>
          <cell r="C616" t="str">
            <v>No.</v>
          </cell>
          <cell r="F616">
            <v>1264.45</v>
          </cell>
          <cell r="G616">
            <v>1149.5</v>
          </cell>
          <cell r="H616" t="str">
            <v>*</v>
          </cell>
        </row>
        <row r="617">
          <cell r="B617" t="str">
            <v>LT St.through joints for 300 sqmm</v>
          </cell>
          <cell r="C617" t="str">
            <v>Nos</v>
          </cell>
          <cell r="F617">
            <v>1264.45</v>
          </cell>
          <cell r="G617">
            <v>1149.5</v>
          </cell>
          <cell r="H617" t="str">
            <v>*</v>
          </cell>
        </row>
        <row r="618">
          <cell r="B618" t="str">
            <v>Non Magnetic stainless steel nut bolt with plain washer</v>
          </cell>
          <cell r="C618" t="str">
            <v>Kg</v>
          </cell>
          <cell r="F618">
            <v>108.9</v>
          </cell>
          <cell r="G618">
            <v>99</v>
          </cell>
          <cell r="H618" t="str">
            <v>*</v>
          </cell>
        </row>
        <row r="619">
          <cell r="B619" t="str">
            <v>Palm Type Clamp (Compression Type)</v>
          </cell>
          <cell r="C619" t="str">
            <v>Nos.</v>
          </cell>
          <cell r="F619">
            <v>975.09060000000011</v>
          </cell>
          <cell r="G619">
            <v>886.44600000000003</v>
          </cell>
          <cell r="H619" t="str">
            <v>*</v>
          </cell>
        </row>
        <row r="620">
          <cell r="B620" t="str">
            <v>PG Clamp</v>
          </cell>
          <cell r="C620" t="str">
            <v>Nos.</v>
          </cell>
          <cell r="F620">
            <v>27.830000000000002</v>
          </cell>
          <cell r="G620">
            <v>25.3</v>
          </cell>
          <cell r="H620" t="str">
            <v>*</v>
          </cell>
        </row>
        <row r="621">
          <cell r="B621" t="str">
            <v>PVC Pipe 110 mm Dia 4 Kg/sqmm</v>
          </cell>
          <cell r="C621" t="str">
            <v>Mtr.</v>
          </cell>
          <cell r="F621">
            <v>96.800000000000011</v>
          </cell>
          <cell r="G621">
            <v>88</v>
          </cell>
          <cell r="H621" t="str">
            <v>*</v>
          </cell>
        </row>
        <row r="622">
          <cell r="B622" t="str">
            <v>RCC Ring work for earthing pits</v>
          </cell>
          <cell r="C622" t="str">
            <v>No.</v>
          </cell>
          <cell r="F622">
            <v>242.00000000000003</v>
          </cell>
          <cell r="G622">
            <v>220</v>
          </cell>
          <cell r="H622" t="str">
            <v>*</v>
          </cell>
        </row>
        <row r="623">
          <cell r="B623" t="str">
            <v>Red Bricks</v>
          </cell>
          <cell r="C623" t="str">
            <v>No.</v>
          </cell>
          <cell r="F623">
            <v>2.4200000000000004</v>
          </cell>
          <cell r="G623">
            <v>2.2000000000000002</v>
          </cell>
          <cell r="H623" t="str">
            <v>*</v>
          </cell>
        </row>
        <row r="624">
          <cell r="B624" t="str">
            <v>Rubberised oil corksheet 5mm</v>
          </cell>
          <cell r="C624" t="str">
            <v>Nos.</v>
          </cell>
          <cell r="F624">
            <v>406.56000000000006</v>
          </cell>
          <cell r="G624">
            <v>369.6</v>
          </cell>
          <cell r="H624" t="str">
            <v>*</v>
          </cell>
        </row>
        <row r="625">
          <cell r="B625" t="str">
            <v>Rubberised oil corksheet 8mm</v>
          </cell>
          <cell r="C625" t="str">
            <v>Nos.</v>
          </cell>
          <cell r="F625">
            <v>750.2</v>
          </cell>
          <cell r="G625">
            <v>682</v>
          </cell>
          <cell r="H625" t="str">
            <v>*</v>
          </cell>
        </row>
        <row r="626">
          <cell r="B626" t="str">
            <v>Sand</v>
          </cell>
          <cell r="C626" t="str">
            <v>Cum</v>
          </cell>
          <cell r="F626">
            <v>210.54000000000002</v>
          </cell>
          <cell r="G626">
            <v>191.4</v>
          </cell>
          <cell r="H626" t="str">
            <v>*</v>
          </cell>
        </row>
        <row r="627">
          <cell r="B627" t="str">
            <v>Special type lugs for 100 sqmm</v>
          </cell>
          <cell r="C627" t="str">
            <v>Nos.</v>
          </cell>
          <cell r="F627">
            <v>544.5</v>
          </cell>
          <cell r="G627">
            <v>495</v>
          </cell>
          <cell r="H627" t="str">
            <v>*</v>
          </cell>
        </row>
        <row r="628">
          <cell r="B628" t="str">
            <v xml:space="preserve">T Connectors suitable for 200 sqmm twin conductor </v>
          </cell>
          <cell r="C628" t="str">
            <v>Nos.</v>
          </cell>
          <cell r="F628">
            <v>907.50000000000011</v>
          </cell>
          <cell r="G628">
            <v>825</v>
          </cell>
          <cell r="H628" t="str">
            <v>*</v>
          </cell>
        </row>
        <row r="629">
          <cell r="B629" t="str">
            <v>Tool box with ratchet spanner,flat spanners,box spanner, plier, screwdriver, hammer ,hacksaw with blades, chisel,files (Standard make)</v>
          </cell>
          <cell r="C629" t="str">
            <v>No.</v>
          </cell>
          <cell r="F629">
            <v>3630.0000000000005</v>
          </cell>
          <cell r="G629">
            <v>3300</v>
          </cell>
          <cell r="H629" t="str">
            <v>*</v>
          </cell>
        </row>
        <row r="630">
          <cell r="B630" t="str">
            <v>Cable Trays 2.5 Mtr. X 6" W</v>
          </cell>
          <cell r="C630" t="str">
            <v>Nos.</v>
          </cell>
          <cell r="F630">
            <v>302.5</v>
          </cell>
          <cell r="G630">
            <v>275</v>
          </cell>
          <cell r="H630" t="str">
            <v>*</v>
          </cell>
        </row>
        <row r="631">
          <cell r="B631" t="str">
            <v>Welding Rods</v>
          </cell>
          <cell r="C631" t="str">
            <v>Nos.</v>
          </cell>
          <cell r="F631">
            <v>2.4200000000000004</v>
          </cell>
          <cell r="G631">
            <v>2.2000000000000002</v>
          </cell>
          <cell r="H631" t="str">
            <v>*</v>
          </cell>
        </row>
        <row r="632">
          <cell r="B632" t="str">
            <v>30 Volt Non directional type Electronic Static relay (Numeric Relay)</v>
          </cell>
          <cell r="C632" t="str">
            <v>Nos.</v>
          </cell>
          <cell r="F632">
            <v>22385</v>
          </cell>
          <cell r="G632">
            <v>20350</v>
          </cell>
          <cell r="H632" t="str">
            <v>*</v>
          </cell>
        </row>
        <row r="633">
          <cell r="F633">
            <v>0</v>
          </cell>
          <cell r="G633">
            <v>0</v>
          </cell>
          <cell r="H633" t="str">
            <v>*</v>
          </cell>
        </row>
        <row r="634">
          <cell r="B634" t="str">
            <v>Distribution T/F 22 / .433 KV 25 KVA O/D</v>
          </cell>
          <cell r="C634" t="str">
            <v>No.</v>
          </cell>
          <cell r="F634">
            <v>113740.00000000001</v>
          </cell>
          <cell r="G634">
            <v>103400</v>
          </cell>
          <cell r="H634" t="str">
            <v>*</v>
          </cell>
        </row>
        <row r="635">
          <cell r="B635" t="str">
            <v>GI Bend 20 mm.</v>
          </cell>
          <cell r="C635" t="str">
            <v>No.</v>
          </cell>
          <cell r="F635">
            <v>14.52</v>
          </cell>
          <cell r="G635">
            <v>13.2</v>
          </cell>
          <cell r="H635" t="str">
            <v>*</v>
          </cell>
        </row>
        <row r="636">
          <cell r="B636" t="str">
            <v>GI Coupling 20 mm.</v>
          </cell>
          <cell r="C636" t="str">
            <v>No.</v>
          </cell>
          <cell r="F636">
            <v>6.0500000000000007</v>
          </cell>
          <cell r="G636">
            <v>5.5</v>
          </cell>
          <cell r="H636" t="str">
            <v>*</v>
          </cell>
        </row>
        <row r="637">
          <cell r="B637" t="str">
            <v>Guard Loops 5 wire</v>
          </cell>
          <cell r="C637" t="str">
            <v>Kg.</v>
          </cell>
          <cell r="F637">
            <v>50.154500000000006</v>
          </cell>
          <cell r="G637">
            <v>45.594999999999999</v>
          </cell>
          <cell r="H637" t="str">
            <v>*</v>
          </cell>
        </row>
        <row r="638">
          <cell r="B638" t="str">
            <v>Kit Kat fuse 250 V 15 A</v>
          </cell>
          <cell r="C638" t="str">
            <v>No.</v>
          </cell>
          <cell r="F638">
            <v>30.800000000000004</v>
          </cell>
          <cell r="G638">
            <v>28</v>
          </cell>
          <cell r="H638" t="str">
            <v>*</v>
          </cell>
        </row>
        <row r="639">
          <cell r="B639" t="str">
            <v>Power Transformer 33/22 KV 5 MVA</v>
          </cell>
          <cell r="C639" t="str">
            <v>No.</v>
          </cell>
          <cell r="F639">
            <v>3677031.56</v>
          </cell>
          <cell r="H639" t="str">
            <v>*</v>
          </cell>
        </row>
        <row r="640">
          <cell r="B640" t="str">
            <v>Power Transformer 33/22 KV 10 MVA</v>
          </cell>
          <cell r="C640" t="str">
            <v>No.</v>
          </cell>
          <cell r="F640">
            <v>5623695.5999999996</v>
          </cell>
          <cell r="H640" t="str">
            <v>*</v>
          </cell>
        </row>
        <row r="641">
          <cell r="B641" t="str">
            <v>SLD Board 11 KV side</v>
          </cell>
          <cell r="C641" t="str">
            <v>No.</v>
          </cell>
          <cell r="F641">
            <v>605</v>
          </cell>
          <cell r="G641">
            <v>550</v>
          </cell>
          <cell r="H641" t="str">
            <v>*</v>
          </cell>
        </row>
        <row r="642">
          <cell r="B642" t="str">
            <v>SLD Board 22 KV side</v>
          </cell>
          <cell r="C642" t="str">
            <v>No.</v>
          </cell>
          <cell r="F642">
            <v>605</v>
          </cell>
          <cell r="G642">
            <v>550</v>
          </cell>
          <cell r="H642" t="str">
            <v>*</v>
          </cell>
        </row>
        <row r="643">
          <cell r="B643" t="str">
            <v xml:space="preserve">Sub-station Board (Name) with angle stand </v>
          </cell>
          <cell r="C643" t="str">
            <v>No.</v>
          </cell>
          <cell r="F643">
            <v>3630.0000000000005</v>
          </cell>
          <cell r="G643">
            <v>3300</v>
          </cell>
          <cell r="H643" t="str">
            <v>*</v>
          </cell>
        </row>
        <row r="644">
          <cell r="B644" t="str">
            <v>Battery Accessories such as hydrometer,cell tester, Acid can, distilled water can,handgloves etc.</v>
          </cell>
          <cell r="C644" t="str">
            <v>Set</v>
          </cell>
          <cell r="F644">
            <v>907.50000000000011</v>
          </cell>
          <cell r="G644">
            <v>825</v>
          </cell>
          <cell r="H644" t="str">
            <v>*</v>
          </cell>
        </row>
        <row r="645">
          <cell r="B645" t="str">
            <v>2 no.s 8W CFL lamps with one suitable invertor ( DC to AC)</v>
          </cell>
          <cell r="C645" t="str">
            <v>Set</v>
          </cell>
          <cell r="F645">
            <v>605</v>
          </cell>
          <cell r="G645">
            <v>550</v>
          </cell>
          <cell r="H645" t="str">
            <v>*</v>
          </cell>
        </row>
        <row r="646">
          <cell r="B646" t="str">
            <v>2 Cell torch</v>
          </cell>
          <cell r="C646" t="str">
            <v>No.</v>
          </cell>
          <cell r="F646">
            <v>54.45</v>
          </cell>
          <cell r="G646">
            <v>49.5</v>
          </cell>
          <cell r="H646" t="str">
            <v>*</v>
          </cell>
        </row>
        <row r="647">
          <cell r="B647" t="str">
            <v>3 Cell torch</v>
          </cell>
          <cell r="C647" t="str">
            <v>No.</v>
          </cell>
          <cell r="F647">
            <v>78.650000000000006</v>
          </cell>
          <cell r="G647">
            <v>71.5</v>
          </cell>
          <cell r="H647" t="str">
            <v>*</v>
          </cell>
        </row>
        <row r="648">
          <cell r="B648" t="str">
            <v xml:space="preserve">Name plate painting for all equipments </v>
          </cell>
          <cell r="C648" t="str">
            <v>L.S.</v>
          </cell>
          <cell r="F648">
            <v>605</v>
          </cell>
          <cell r="G648">
            <v>550</v>
          </cell>
          <cell r="H648" t="str">
            <v>*</v>
          </cell>
        </row>
        <row r="649">
          <cell r="B649" t="str">
            <v>Safety Items as per the requirement of electrical inspector as under</v>
          </cell>
          <cell r="C649" t="str">
            <v>L.S.</v>
          </cell>
          <cell r="F649">
            <v>9075</v>
          </cell>
          <cell r="G649">
            <v>8250</v>
          </cell>
          <cell r="H649" t="str">
            <v>*</v>
          </cell>
        </row>
        <row r="650">
          <cell r="B650" t="str">
            <v>a)      First Aid Box</v>
          </cell>
        </row>
        <row r="651">
          <cell r="B651" t="str">
            <v>b)      Shock treatment chart</v>
          </cell>
        </row>
        <row r="652">
          <cell r="B652" t="str">
            <v>c)       Rubber matts 8 mm thick</v>
          </cell>
        </row>
        <row r="653">
          <cell r="B653" t="str">
            <v>d)      4 Fire buckets with sand &amp; M.S. Hooks / stand</v>
          </cell>
        </row>
        <row r="654">
          <cell r="B654" t="str">
            <v>e)      Helmet</v>
          </cell>
        </row>
        <row r="655">
          <cell r="B655" t="str">
            <v>f)       Hand gloves</v>
          </cell>
        </row>
        <row r="656">
          <cell r="B656" t="str">
            <v>g)      2 Nos. Fire extinguisher</v>
          </cell>
        </row>
        <row r="657">
          <cell r="B657" t="str">
            <v>Land Development ( As per table A)</v>
          </cell>
          <cell r="C657" t="str">
            <v>L.S.</v>
          </cell>
          <cell r="F657">
            <v>342420</v>
          </cell>
          <cell r="H657" t="str">
            <v>*</v>
          </cell>
        </row>
        <row r="658">
          <cell r="B658" t="str">
            <v>Control room of size 9.45 m X 9.65 m (As per table B)</v>
          </cell>
          <cell r="C658" t="str">
            <v>L.S.</v>
          </cell>
          <cell r="F658">
            <v>1339442.75</v>
          </cell>
          <cell r="H658" t="str">
            <v>*</v>
          </cell>
        </row>
        <row r="659">
          <cell r="B659" t="str">
            <v>Store room of size 8.0m X 6.0 m (As per table C)</v>
          </cell>
          <cell r="C659" t="str">
            <v>L.S.</v>
          </cell>
          <cell r="F659">
            <v>435920.87</v>
          </cell>
          <cell r="H659" t="str">
            <v>*</v>
          </cell>
        </row>
        <row r="660">
          <cell r="B660" t="str">
            <v>Sanitory Water supply</v>
          </cell>
          <cell r="C660" t="str">
            <v>L.S.</v>
          </cell>
          <cell r="F660">
            <v>0</v>
          </cell>
          <cell r="H660" t="str">
            <v>*</v>
          </cell>
        </row>
        <row r="661">
          <cell r="B661" t="str">
            <v>Electrification (Lumsum)</v>
          </cell>
          <cell r="C661" t="str">
            <v>L.S.</v>
          </cell>
          <cell r="F661">
            <v>100000</v>
          </cell>
          <cell r="H661" t="str">
            <v>*</v>
          </cell>
        </row>
        <row r="662">
          <cell r="B662" t="str">
            <v>WBM Road (As per table D)</v>
          </cell>
          <cell r="C662" t="str">
            <v>L.S.</v>
          </cell>
          <cell r="F662">
            <v>307362.5</v>
          </cell>
          <cell r="H662" t="str">
            <v>*</v>
          </cell>
        </row>
        <row r="663">
          <cell r="B663" t="str">
            <v>Chain link fencing and Bar bed wire fencing (As per table E)</v>
          </cell>
          <cell r="C663" t="str">
            <v>L.S.</v>
          </cell>
          <cell r="F663">
            <v>850171.32</v>
          </cell>
          <cell r="H663" t="str">
            <v>*</v>
          </cell>
        </row>
        <row r="664">
          <cell r="B664" t="str">
            <v>Metal Spreading (As per table F)</v>
          </cell>
          <cell r="C664" t="str">
            <v>L.S.</v>
          </cell>
          <cell r="F664">
            <v>202750</v>
          </cell>
          <cell r="H664" t="str">
            <v>*</v>
          </cell>
        </row>
        <row r="665">
          <cell r="B665" t="str">
            <v>Equipment Foundations for 1X 5 MVA or 1X10 MVA (1+3 Bay) (As table G)</v>
          </cell>
          <cell r="C665" t="str">
            <v>L.S.</v>
          </cell>
          <cell r="F665">
            <v>530744</v>
          </cell>
          <cell r="H665" t="str">
            <v>*</v>
          </cell>
        </row>
        <row r="666">
          <cell r="B666" t="str">
            <v>Providing survey &amp; contouring, investigation of soil</v>
          </cell>
          <cell r="C666" t="str">
            <v>L.S.</v>
          </cell>
          <cell r="F666">
            <v>0</v>
          </cell>
          <cell r="H666" t="str">
            <v>*</v>
          </cell>
        </row>
        <row r="667">
          <cell r="B667" t="str">
            <v>Design of foundation of equipments. Transformer plinth, Control room building (Departmental)</v>
          </cell>
          <cell r="C667" t="str">
            <v>L.S.</v>
          </cell>
          <cell r="F667">
            <v>0</v>
          </cell>
          <cell r="H667" t="str">
            <v>*</v>
          </cell>
        </row>
        <row r="668">
          <cell r="B668" t="str">
            <v>Water Supply arrangement for C/Room and Switch Yard.(As per table H)</v>
          </cell>
          <cell r="C668" t="str">
            <v>L.S.</v>
          </cell>
          <cell r="F668">
            <v>61205</v>
          </cell>
          <cell r="H668" t="str">
            <v>*</v>
          </cell>
        </row>
        <row r="669">
          <cell r="B669" t="str">
            <v>Borewell including pumpset and allied accessories. (As per table I)</v>
          </cell>
          <cell r="C669" t="str">
            <v>L.S.</v>
          </cell>
          <cell r="F669">
            <v>80623</v>
          </cell>
          <cell r="H669" t="str">
            <v>*</v>
          </cell>
        </row>
        <row r="670">
          <cell r="B670" t="str">
            <v>Const.of cable trench with covers in S/Yard. (As per table J)</v>
          </cell>
          <cell r="C670" t="str">
            <v>L.S.</v>
          </cell>
          <cell r="F670">
            <v>325543.27178399998</v>
          </cell>
          <cell r="H670" t="str">
            <v>*</v>
          </cell>
        </row>
        <row r="671">
          <cell r="B671" t="str">
            <v>Construction of retaining wall. (As per table K)</v>
          </cell>
          <cell r="C671" t="str">
            <v>L.S.</v>
          </cell>
          <cell r="F671">
            <v>706418.1849600001</v>
          </cell>
          <cell r="H671" t="str">
            <v>*</v>
          </cell>
        </row>
        <row r="672">
          <cell r="B672" t="str">
            <v>Foundations for structures and equipments for switching station</v>
          </cell>
          <cell r="C672" t="str">
            <v>L.S.</v>
          </cell>
          <cell r="F672">
            <v>689816.16</v>
          </cell>
          <cell r="G672">
            <v>627105.6</v>
          </cell>
          <cell r="H672" t="str">
            <v>*</v>
          </cell>
        </row>
        <row r="673">
          <cell r="B673" t="str">
            <v>Foundations for structures and equipments (for 2 t/f bays)</v>
          </cell>
          <cell r="C673" t="str">
            <v>L.S.</v>
          </cell>
          <cell r="F673">
            <v>1430000</v>
          </cell>
          <cell r="G673">
            <v>1300000</v>
          </cell>
          <cell r="H673" t="str">
            <v>*</v>
          </cell>
        </row>
        <row r="674">
          <cell r="B674" t="str">
            <v>33 kV 1000 MVA 1600 Amp.IN Door Type VCB</v>
          </cell>
          <cell r="C674" t="str">
            <v>No.</v>
          </cell>
          <cell r="F674">
            <v>1452000.0000000002</v>
          </cell>
          <cell r="G674">
            <v>1320000</v>
          </cell>
          <cell r="H674" t="str">
            <v>*</v>
          </cell>
        </row>
        <row r="675">
          <cell r="B675" t="str">
            <v>22 kV 1000 MVA 1600 Amp.IN Door Type VCB</v>
          </cell>
          <cell r="C675" t="str">
            <v>No.</v>
          </cell>
          <cell r="F675">
            <v>1452000.0000000002</v>
          </cell>
          <cell r="G675">
            <v>1320000</v>
          </cell>
          <cell r="H675" t="str">
            <v>*</v>
          </cell>
        </row>
        <row r="676">
          <cell r="B676" t="str">
            <v>22 kV SF6 Isolator</v>
          </cell>
          <cell r="C676" t="str">
            <v>No.</v>
          </cell>
          <cell r="F676">
            <v>440000</v>
          </cell>
          <cell r="G676" t="e">
            <v>#N/A</v>
          </cell>
          <cell r="H676" t="str">
            <v>*</v>
          </cell>
        </row>
        <row r="677">
          <cell r="B677" t="str">
            <v>0.2 ACSR Loop Connector</v>
          </cell>
          <cell r="C677" t="str">
            <v>No.</v>
          </cell>
          <cell r="F677">
            <v>844.8</v>
          </cell>
          <cell r="G677" t="e">
            <v>#N/A</v>
          </cell>
          <cell r="H677" t="str">
            <v>*</v>
          </cell>
        </row>
        <row r="678">
          <cell r="B678" t="str">
            <v>Transformer Clamps</v>
          </cell>
          <cell r="C678" t="str">
            <v>No.</v>
          </cell>
          <cell r="F678">
            <v>742.5</v>
          </cell>
          <cell r="G678">
            <v>742.5</v>
          </cell>
          <cell r="H678" t="str">
            <v>*</v>
          </cell>
        </row>
        <row r="679">
          <cell r="B679" t="str">
            <v>33 kv guarding channel MS100x50</v>
          </cell>
          <cell r="C679" t="str">
            <v>Kg.</v>
          </cell>
          <cell r="F679">
            <v>47.05</v>
          </cell>
          <cell r="H679" t="str">
            <v>*</v>
          </cell>
        </row>
        <row r="680">
          <cell r="B680" t="str">
            <v>22 kv guarding channel MS100x50</v>
          </cell>
          <cell r="C680" t="str">
            <v>Kg.</v>
          </cell>
          <cell r="F680">
            <v>47.05</v>
          </cell>
          <cell r="H680" t="str">
            <v>*</v>
          </cell>
        </row>
        <row r="681">
          <cell r="B681" t="str">
            <v>11 kv guarding channel MS 75x40</v>
          </cell>
          <cell r="C681" t="str">
            <v>Kg.</v>
          </cell>
          <cell r="F681">
            <v>47.05</v>
          </cell>
          <cell r="H681" t="str">
            <v>*</v>
          </cell>
        </row>
        <row r="682">
          <cell r="B682" t="str">
            <v>11 kV heat shrinkable Straight through joint kit for 3 C X 50 sqmm</v>
          </cell>
          <cell r="C682" t="str">
            <v>Kg.</v>
          </cell>
          <cell r="F682">
            <v>4114</v>
          </cell>
          <cell r="G682">
            <v>3740</v>
          </cell>
          <cell r="H682" t="str">
            <v>*</v>
          </cell>
        </row>
        <row r="683">
          <cell r="B683" t="str">
            <v>11 kV heat shrinkable Outdoor termination joint kit for 3 C X 50 sqmm</v>
          </cell>
          <cell r="C683" t="str">
            <v>Kg.</v>
          </cell>
          <cell r="F683">
            <v>1433.8500000000001</v>
          </cell>
          <cell r="G683">
            <v>1303.5</v>
          </cell>
          <cell r="H683" t="str">
            <v>*</v>
          </cell>
        </row>
        <row r="684">
          <cell r="B684" t="str">
            <v>C.T.-33KV200-100/1-1-1A/3Core</v>
          </cell>
          <cell r="C684" t="str">
            <v>No</v>
          </cell>
          <cell r="F684">
            <v>24200.000000000004</v>
          </cell>
          <cell r="G684">
            <v>22000</v>
          </cell>
        </row>
        <row r="685">
          <cell r="B685" t="str">
            <v>22 kV Heat shrik Straight through joint (Al) kit for XLPE 3 C X 300 sqmm</v>
          </cell>
          <cell r="C685" t="str">
            <v>Kit</v>
          </cell>
          <cell r="F685">
            <v>26620.000000000004</v>
          </cell>
          <cell r="G685">
            <v>24200</v>
          </cell>
          <cell r="H685" t="str">
            <v>*</v>
          </cell>
        </row>
        <row r="686">
          <cell r="B686" t="str">
            <v>22 kV Heat shrik Indoor termination joint (Al) kit for XLPE 3 C X 300 sqmm</v>
          </cell>
          <cell r="C686" t="str">
            <v>Kit</v>
          </cell>
          <cell r="F686">
            <v>0</v>
          </cell>
          <cell r="G686">
            <v>0</v>
          </cell>
          <cell r="H686" t="str">
            <v>*</v>
          </cell>
        </row>
        <row r="687">
          <cell r="B687" t="str">
            <v>Stainless steel neutral earth resistor for 10 MVA 22/11 kV DZ-10 Power Transformer</v>
          </cell>
          <cell r="C687" t="str">
            <v>No</v>
          </cell>
          <cell r="F687">
            <v>36300</v>
          </cell>
          <cell r="G687">
            <v>33000</v>
          </cell>
          <cell r="H687" t="str">
            <v>*</v>
          </cell>
        </row>
        <row r="688">
          <cell r="B688" t="str">
            <v>Sundries such as Civil Work, Foundation Earthing glands etc.</v>
          </cell>
          <cell r="C688" t="str">
            <v>L.S.</v>
          </cell>
          <cell r="F688">
            <v>12100.000000000002</v>
          </cell>
          <cell r="G688">
            <v>11000</v>
          </cell>
          <cell r="H688" t="str">
            <v>*</v>
          </cell>
        </row>
        <row r="689">
          <cell r="B689" t="str">
            <v>Erection of 25 nos of towers in place of old rusted towers with pile foundation and caps and reconductoring with 0.2 ACSR conductor this includes the cost of tower material</v>
          </cell>
          <cell r="C689" t="str">
            <v>No</v>
          </cell>
          <cell r="F689">
            <v>455928.00000000006</v>
          </cell>
          <cell r="G689">
            <v>414480</v>
          </cell>
          <cell r="H689" t="str">
            <v>*</v>
          </cell>
        </row>
        <row r="690">
          <cell r="B690" t="str">
            <v>Sundries Nutbolts,Binding Tapes wire etc.</v>
          </cell>
          <cell r="C690" t="str">
            <v>LS</v>
          </cell>
          <cell r="F690">
            <v>18150</v>
          </cell>
          <cell r="G690">
            <v>16500</v>
          </cell>
          <cell r="H690" t="str">
            <v>*</v>
          </cell>
        </row>
        <row r="691">
          <cell r="B691" t="str">
            <v>Ring Main Unit SF - 6 Type (3 Isolators + 1 Breaker)</v>
          </cell>
          <cell r="C691" t="str">
            <v>Set</v>
          </cell>
          <cell r="F691">
            <v>435600.00000000006</v>
          </cell>
          <cell r="G691">
            <v>396000</v>
          </cell>
          <cell r="H691" t="str">
            <v>*</v>
          </cell>
        </row>
        <row r="692">
          <cell r="B692" t="str">
            <v>Foundation Structure for RMU for Cable Entry Etc.</v>
          </cell>
          <cell r="C692" t="str">
            <v>No</v>
          </cell>
          <cell r="F692">
            <v>19360</v>
          </cell>
          <cell r="G692">
            <v>17600</v>
          </cell>
          <cell r="H692" t="str">
            <v>*</v>
          </cell>
        </row>
        <row r="693">
          <cell r="B693" t="str">
            <v>Earthing to equipment with Salt ,Coke, earthing strip Etc.</v>
          </cell>
          <cell r="C693" t="str">
            <v>No</v>
          </cell>
          <cell r="F693">
            <v>12100.000000000002</v>
          </cell>
          <cell r="G693">
            <v>11000</v>
          </cell>
          <cell r="H693" t="str">
            <v>*</v>
          </cell>
        </row>
        <row r="694">
          <cell r="B694" t="str">
            <v>Sundries such as N/B, Washers, Welding etc.</v>
          </cell>
          <cell r="C694" t="str">
            <v>kg</v>
          </cell>
          <cell r="F694">
            <v>3025.0000000000005</v>
          </cell>
          <cell r="G694">
            <v>2750</v>
          </cell>
          <cell r="H694" t="str">
            <v>*</v>
          </cell>
        </row>
        <row r="695">
          <cell r="B695" t="str">
            <v>Ring Main Unit SF - 6 Type (2 Isolators + 2 Breaker)</v>
          </cell>
          <cell r="C695" t="str">
            <v>Set</v>
          </cell>
          <cell r="F695">
            <v>484000.00000000006</v>
          </cell>
          <cell r="G695">
            <v>440000</v>
          </cell>
          <cell r="H695" t="str">
            <v>*</v>
          </cell>
        </row>
        <row r="696">
          <cell r="B696" t="str">
            <v>Single Core 11 KV 300 sq mm XLPE Cable</v>
          </cell>
          <cell r="C696" t="str">
            <v>Mtr.</v>
          </cell>
          <cell r="F696">
            <v>1167.4403796000001</v>
          </cell>
          <cell r="G696">
            <v>1061.309436</v>
          </cell>
          <cell r="H696" t="str">
            <v>*</v>
          </cell>
        </row>
        <row r="697">
          <cell r="B697" t="str">
            <v>11 KV Neutral CT Outdoor type with Relay</v>
          </cell>
          <cell r="C697" t="str">
            <v>No</v>
          </cell>
          <cell r="F697">
            <v>38332.800000000003</v>
          </cell>
          <cell r="G697">
            <v>34848</v>
          </cell>
          <cell r="H697" t="str">
            <v>*</v>
          </cell>
        </row>
        <row r="698">
          <cell r="B698" t="str">
            <v>CT Structure</v>
          </cell>
          <cell r="C698" t="str">
            <v>L.S.</v>
          </cell>
          <cell r="F698">
            <v>6050.0000000000009</v>
          </cell>
          <cell r="G698">
            <v>5500</v>
          </cell>
          <cell r="H698" t="str">
            <v>*</v>
          </cell>
        </row>
        <row r="699">
          <cell r="B699" t="str">
            <v>Ring Main Unit SF - 6 Type (3 Isolators + 2 Breaker) 22 kV</v>
          </cell>
          <cell r="C699" t="str">
            <v>Set</v>
          </cell>
          <cell r="F699">
            <v>580800</v>
          </cell>
          <cell r="G699">
            <v>528000</v>
          </cell>
          <cell r="H699" t="str">
            <v>*</v>
          </cell>
        </row>
        <row r="704">
          <cell r="E704">
            <v>80519</v>
          </cell>
        </row>
        <row r="707">
          <cell r="E707">
            <v>87688.5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Transformers 11/.430KV-63KVA (without  CSP)</v>
          </cell>
          <cell r="B1" t="str">
            <v>No</v>
          </cell>
          <cell r="C1">
            <v>112019.35</v>
          </cell>
          <cell r="D1">
            <v>68519.62</v>
          </cell>
          <cell r="E1">
            <v>74776.479999999996</v>
          </cell>
          <cell r="F1">
            <v>152336</v>
          </cell>
          <cell r="G1">
            <v>96629</v>
          </cell>
          <cell r="H1">
            <v>107914</v>
          </cell>
          <cell r="I1">
            <v>96629</v>
          </cell>
          <cell r="J1">
            <v>85168.87999999999</v>
          </cell>
        </row>
        <row r="2">
          <cell r="A2" t="str">
            <v>Transformers 11/.430KV-63KVA (with  CSP)</v>
          </cell>
          <cell r="B2" t="str">
            <v>No</v>
          </cell>
          <cell r="C2" t="str">
            <v>N.A</v>
          </cell>
          <cell r="D2" t="str">
            <v>N.A</v>
          </cell>
          <cell r="E2">
            <v>86070.15</v>
          </cell>
          <cell r="F2" t="str">
            <v>N.A</v>
          </cell>
          <cell r="J2">
            <v>0</v>
          </cell>
        </row>
        <row r="3">
          <cell r="A3" t="str">
            <v>Transformers 11/.430KV-100KVA  (without  CSP)</v>
          </cell>
          <cell r="B3" t="str">
            <v>No</v>
          </cell>
          <cell r="C3">
            <v>140472.73000000001</v>
          </cell>
          <cell r="D3">
            <v>92073.23</v>
          </cell>
          <cell r="E3">
            <v>108046</v>
          </cell>
          <cell r="F3">
            <v>191948</v>
          </cell>
          <cell r="G3">
            <v>103483</v>
          </cell>
          <cell r="H3">
            <v>134492</v>
          </cell>
          <cell r="I3">
            <v>108046</v>
          </cell>
          <cell r="J3">
            <v>115730.79999999999</v>
          </cell>
        </row>
        <row r="4">
          <cell r="A4" t="str">
            <v>Transformers 11/.430KV-100KVA  (with  CSP)</v>
          </cell>
          <cell r="C4" t="str">
            <v>N.A</v>
          </cell>
          <cell r="D4" t="str">
            <v>N.A</v>
          </cell>
          <cell r="F4" t="str">
            <v>N.A</v>
          </cell>
          <cell r="J4">
            <v>0</v>
          </cell>
        </row>
        <row r="5">
          <cell r="A5" t="str">
            <v>Transformers 11/.430KV-200KVA</v>
          </cell>
          <cell r="B5" t="str">
            <v>No</v>
          </cell>
          <cell r="C5">
            <v>259736.53</v>
          </cell>
          <cell r="D5">
            <v>176759.2</v>
          </cell>
          <cell r="E5">
            <v>137751</v>
          </cell>
          <cell r="F5">
            <v>311759</v>
          </cell>
          <cell r="G5">
            <v>202248</v>
          </cell>
          <cell r="H5">
            <v>217253</v>
          </cell>
          <cell r="I5">
            <v>202248</v>
          </cell>
          <cell r="J5">
            <v>202472.72</v>
          </cell>
        </row>
        <row r="6">
          <cell r="H6">
            <v>499708</v>
          </cell>
          <cell r="J6">
            <v>0</v>
          </cell>
        </row>
        <row r="7">
          <cell r="A7" t="str">
            <v>Transformers 11/.430KV-315KVA</v>
          </cell>
          <cell r="B7" t="str">
            <v>No</v>
          </cell>
          <cell r="C7">
            <v>328677.09999999998</v>
          </cell>
          <cell r="D7">
            <v>447329.61</v>
          </cell>
          <cell r="E7">
            <v>534438</v>
          </cell>
          <cell r="F7">
            <v>447830</v>
          </cell>
          <cell r="G7">
            <v>516856</v>
          </cell>
          <cell r="H7">
            <v>499708</v>
          </cell>
          <cell r="I7">
            <v>499708</v>
          </cell>
          <cell r="J7">
            <v>549440.4</v>
          </cell>
        </row>
        <row r="8">
          <cell r="A8" t="str">
            <v>Transformers 22/.430KV-63KVA</v>
          </cell>
          <cell r="B8" t="str">
            <v>No</v>
          </cell>
          <cell r="C8">
            <v>146371.32999999999</v>
          </cell>
          <cell r="D8">
            <v>115258.93</v>
          </cell>
          <cell r="E8">
            <v>149201</v>
          </cell>
          <cell r="F8">
            <v>167278</v>
          </cell>
          <cell r="H8">
            <v>158240</v>
          </cell>
          <cell r="I8">
            <v>149201</v>
          </cell>
          <cell r="J8">
            <v>132933.11599999998</v>
          </cell>
        </row>
        <row r="9">
          <cell r="A9" t="str">
            <v>Transformers 22/.430KV-100KVA</v>
          </cell>
          <cell r="B9" t="str">
            <v>No</v>
          </cell>
          <cell r="C9">
            <v>180949.59</v>
          </cell>
          <cell r="D9">
            <v>147058.53</v>
          </cell>
          <cell r="E9">
            <v>200099</v>
          </cell>
          <cell r="F9">
            <v>306022</v>
          </cell>
          <cell r="H9">
            <v>253061</v>
          </cell>
          <cell r="I9">
            <v>200099</v>
          </cell>
          <cell r="J9">
            <v>167809.66</v>
          </cell>
        </row>
        <row r="10">
          <cell r="A10" t="str">
            <v>Transformers 22/.430KV-200KVA</v>
          </cell>
          <cell r="B10" t="str">
            <v>No</v>
          </cell>
          <cell r="C10">
            <v>313328.17</v>
          </cell>
          <cell r="D10">
            <v>258612.6</v>
          </cell>
          <cell r="E10">
            <v>309081</v>
          </cell>
          <cell r="F10">
            <v>357298</v>
          </cell>
          <cell r="H10">
            <v>333190</v>
          </cell>
          <cell r="I10">
            <v>333100</v>
          </cell>
          <cell r="J10">
            <v>319630.49199999997</v>
          </cell>
        </row>
        <row r="11">
          <cell r="A11" t="str">
            <v>Transformers 22/.430KV-315KVA</v>
          </cell>
          <cell r="B11" t="str">
            <v>No</v>
          </cell>
          <cell r="C11">
            <v>348479.96</v>
          </cell>
          <cell r="D11">
            <v>480963.41</v>
          </cell>
          <cell r="E11">
            <v>574621</v>
          </cell>
          <cell r="F11">
            <v>495471</v>
          </cell>
          <cell r="H11">
            <v>535046</v>
          </cell>
          <cell r="I11">
            <v>535046</v>
          </cell>
          <cell r="J11">
            <v>601177.68559999997</v>
          </cell>
        </row>
        <row r="12">
          <cell r="A12" t="str">
            <v>Transformers 22/.430KV-500KVA</v>
          </cell>
          <cell r="B12" t="str">
            <v>No</v>
          </cell>
          <cell r="I12" t="str">
            <v>N.A</v>
          </cell>
          <cell r="J12">
            <v>0</v>
          </cell>
        </row>
        <row r="13">
          <cell r="A13" t="str">
            <v>Transformers 22/.430KV-630KVA</v>
          </cell>
          <cell r="B13" t="str">
            <v>No</v>
          </cell>
          <cell r="C13">
            <v>576800.37</v>
          </cell>
          <cell r="D13">
            <v>710794.42</v>
          </cell>
          <cell r="E13">
            <v>849206</v>
          </cell>
          <cell r="I13">
            <v>849206</v>
          </cell>
          <cell r="J13">
            <v>882924.88</v>
          </cell>
        </row>
        <row r="14">
          <cell r="A14" t="str">
            <v>Transformers 22/11 KV-5 MVA</v>
          </cell>
          <cell r="B14" t="str">
            <v>No</v>
          </cell>
          <cell r="C14">
            <v>3600000</v>
          </cell>
          <cell r="D14">
            <v>3600000</v>
          </cell>
          <cell r="E14">
            <v>3553598.2</v>
          </cell>
          <cell r="G14">
            <v>3650000</v>
          </cell>
          <cell r="H14">
            <v>3601799</v>
          </cell>
          <cell r="I14">
            <v>3601799</v>
          </cell>
          <cell r="J14">
            <v>3658441.5999999996</v>
          </cell>
        </row>
        <row r="15">
          <cell r="A15" t="str">
            <v>Transformers 22/11 KV-10 MVA</v>
          </cell>
          <cell r="B15" t="str">
            <v>No</v>
          </cell>
          <cell r="C15">
            <v>6300000</v>
          </cell>
          <cell r="D15">
            <v>6360000</v>
          </cell>
          <cell r="E15">
            <v>5565754.04</v>
          </cell>
          <cell r="G15">
            <v>5955000</v>
          </cell>
          <cell r="H15">
            <v>5760377</v>
          </cell>
          <cell r="I15">
            <v>5760377</v>
          </cell>
          <cell r="J15">
            <v>5651708</v>
          </cell>
        </row>
        <row r="16">
          <cell r="A16" t="str">
            <v>Transformers 33/11 KV-5 MVA</v>
          </cell>
          <cell r="B16" t="str">
            <v>No</v>
          </cell>
          <cell r="C16">
            <v>3506993.25</v>
          </cell>
          <cell r="D16">
            <v>3489327.14</v>
          </cell>
          <cell r="E16">
            <v>3105215.91</v>
          </cell>
          <cell r="G16">
            <v>4101140</v>
          </cell>
          <cell r="H16">
            <v>3603178</v>
          </cell>
          <cell r="I16">
            <v>3603178</v>
          </cell>
          <cell r="J16">
            <v>3241586</v>
          </cell>
        </row>
        <row r="17">
          <cell r="A17" t="str">
            <v>Transformers 33/11 KV-10 MVA</v>
          </cell>
          <cell r="B17" t="str">
            <v>No</v>
          </cell>
          <cell r="C17">
            <v>6887340.5599999996</v>
          </cell>
          <cell r="D17">
            <v>6354759.0099999998</v>
          </cell>
          <cell r="E17">
            <v>5462651.29</v>
          </cell>
          <cell r="G17">
            <v>6700700</v>
          </cell>
          <cell r="H17">
            <v>6081676</v>
          </cell>
          <cell r="I17">
            <v>6081676</v>
          </cell>
          <cell r="J17">
            <v>5590141.4616</v>
          </cell>
        </row>
        <row r="18">
          <cell r="J18">
            <v>0</v>
          </cell>
        </row>
        <row r="19">
          <cell r="A19" t="str">
            <v>Tubular Pole 9 Mtr for S/Stn. Lights</v>
          </cell>
          <cell r="B19" t="str">
            <v>No</v>
          </cell>
          <cell r="C19">
            <v>3200</v>
          </cell>
          <cell r="D19">
            <v>3520</v>
          </cell>
          <cell r="E19">
            <v>3872</v>
          </cell>
          <cell r="F19">
            <v>11468</v>
          </cell>
          <cell r="G19">
            <v>7590</v>
          </cell>
          <cell r="H19">
            <v>7643</v>
          </cell>
          <cell r="I19">
            <v>7590</v>
          </cell>
          <cell r="J19">
            <v>5056.2</v>
          </cell>
        </row>
        <row r="22">
          <cell r="A22" t="str">
            <v>RSJ 152 X 152,6</v>
          </cell>
          <cell r="J22">
            <v>7846.2048000000004</v>
          </cell>
        </row>
        <row r="23">
          <cell r="A23" t="str">
            <v>RSJ 152 X 153,8</v>
          </cell>
          <cell r="J23">
            <v>10461.606400000001</v>
          </cell>
        </row>
        <row r="24">
          <cell r="A24" t="str">
            <v>RSJ 152 X 154,9</v>
          </cell>
          <cell r="J24">
            <v>11769.307200000001</v>
          </cell>
        </row>
        <row r="25">
          <cell r="A25" t="str">
            <v>RSJ 152 X 155,10</v>
          </cell>
          <cell r="J25">
            <v>13077.008</v>
          </cell>
        </row>
        <row r="26">
          <cell r="A26" t="str">
            <v>RSJ 152 X 156,11</v>
          </cell>
          <cell r="J26">
            <v>14384.7088</v>
          </cell>
        </row>
        <row r="27">
          <cell r="A27" t="str">
            <v>RSJ 152 X 157,12</v>
          </cell>
          <cell r="J27">
            <v>15692.409600000001</v>
          </cell>
        </row>
        <row r="28">
          <cell r="A28" t="str">
            <v>RSJ 152 X 158,13</v>
          </cell>
          <cell r="J28">
            <v>17000.110400000001</v>
          </cell>
        </row>
        <row r="29">
          <cell r="A29" t="str">
            <v>RSJ 175 X 85,6</v>
          </cell>
          <cell r="J29">
            <v>5755.8853799999997</v>
          </cell>
        </row>
        <row r="30">
          <cell r="A30" t="str">
            <v>RSJ 175 X 86,8</v>
          </cell>
          <cell r="J30">
            <v>7674.5138399999996</v>
          </cell>
        </row>
        <row r="31">
          <cell r="A31" t="str">
            <v>RSJ 175 X 87,9</v>
          </cell>
          <cell r="J31">
            <v>8633.8280699999996</v>
          </cell>
        </row>
        <row r="32">
          <cell r="A32" t="str">
            <v>RSJ 175 X 88,10</v>
          </cell>
          <cell r="J32">
            <v>9593.1422999999995</v>
          </cell>
        </row>
        <row r="33">
          <cell r="A33" t="str">
            <v>RSJ 175 X 89,11</v>
          </cell>
          <cell r="J33">
            <v>10552.456529999999</v>
          </cell>
        </row>
        <row r="34">
          <cell r="A34" t="str">
            <v>RSJ 175 X 90,12</v>
          </cell>
          <cell r="J34">
            <v>11511.770759999999</v>
          </cell>
        </row>
        <row r="35">
          <cell r="A35" t="str">
            <v>RSJ 175 X 91,13</v>
          </cell>
          <cell r="J35">
            <v>12471.084989999999</v>
          </cell>
        </row>
        <row r="36">
          <cell r="A36" t="str">
            <v>RSJ 116 X 100,6</v>
          </cell>
          <cell r="J36">
            <v>5020.3019999999997</v>
          </cell>
        </row>
        <row r="37">
          <cell r="A37" t="str">
            <v>RSJ 116 X 101,8</v>
          </cell>
          <cell r="J37">
            <v>6693.7359999999999</v>
          </cell>
        </row>
        <row r="38">
          <cell r="A38" t="str">
            <v>RSJ 116 X 102,9</v>
          </cell>
          <cell r="J38">
            <v>7530.4530000000004</v>
          </cell>
        </row>
        <row r="39">
          <cell r="A39" t="str">
            <v>RSJ 116 X 103,10</v>
          </cell>
          <cell r="J39">
            <v>8367.17</v>
          </cell>
        </row>
        <row r="40">
          <cell r="A40" t="str">
            <v>RSJ 116 X 104,11</v>
          </cell>
          <cell r="J40">
            <v>9203.8870000000006</v>
          </cell>
        </row>
        <row r="41">
          <cell r="A41" t="str">
            <v>RSJ 116 X 105,12</v>
          </cell>
          <cell r="J41">
            <v>10040.603999999999</v>
          </cell>
        </row>
        <row r="42">
          <cell r="A42" t="str">
            <v>RSJ 116 X 106,13</v>
          </cell>
          <cell r="J42">
            <v>10877.321</v>
          </cell>
        </row>
        <row r="43">
          <cell r="A43" t="str">
            <v>RSJ 125 X 70,6</v>
          </cell>
          <cell r="J43">
            <v>2903.0442000000003</v>
          </cell>
        </row>
        <row r="44">
          <cell r="A44" t="str">
            <v>RSJ 125 X 71,8</v>
          </cell>
          <cell r="J44">
            <v>3870.7256000000002</v>
          </cell>
        </row>
        <row r="45">
          <cell r="A45" t="str">
            <v>RSJ 125 X 72,9</v>
          </cell>
          <cell r="J45">
            <v>4354.5662999999995</v>
          </cell>
        </row>
        <row r="46">
          <cell r="A46" t="str">
            <v>RSJ 125 X 73,10</v>
          </cell>
          <cell r="J46">
            <v>4838.4070000000002</v>
          </cell>
        </row>
        <row r="47">
          <cell r="A47" t="str">
            <v>RSJ 125 X 74,11</v>
          </cell>
          <cell r="J47">
            <v>5322.2476999999999</v>
          </cell>
        </row>
        <row r="48">
          <cell r="A48" t="str">
            <v>RSJ 125 X 75,12</v>
          </cell>
          <cell r="J48">
            <v>5806.0884000000005</v>
          </cell>
        </row>
        <row r="49">
          <cell r="A49" t="str">
            <v>RSJ 125 X 76,13</v>
          </cell>
          <cell r="J49">
            <v>6289.9291000000003</v>
          </cell>
        </row>
        <row r="50">
          <cell r="A50" t="str">
            <v>M S Angel</v>
          </cell>
          <cell r="B50" t="str">
            <v>Per Kg</v>
          </cell>
          <cell r="C50">
            <v>34.9</v>
          </cell>
          <cell r="D50">
            <v>37.92</v>
          </cell>
          <cell r="E50">
            <v>41.97</v>
          </cell>
          <cell r="F50">
            <v>80</v>
          </cell>
          <cell r="G50">
            <v>55.32</v>
          </cell>
          <cell r="H50">
            <v>59.096666666666664</v>
          </cell>
          <cell r="I50">
            <v>55.32</v>
          </cell>
          <cell r="J50">
            <v>42.493152000000002</v>
          </cell>
        </row>
        <row r="51">
          <cell r="A51" t="str">
            <v>M S Channel</v>
          </cell>
          <cell r="B51" t="str">
            <v>Per Kg</v>
          </cell>
          <cell r="C51">
            <v>34.9</v>
          </cell>
          <cell r="D51">
            <v>37.92</v>
          </cell>
          <cell r="E51">
            <v>41.97</v>
          </cell>
          <cell r="F51">
            <v>77</v>
          </cell>
          <cell r="G51">
            <v>55.32</v>
          </cell>
          <cell r="H51">
            <v>58.096666666666664</v>
          </cell>
          <cell r="I51">
            <v>55.32</v>
          </cell>
          <cell r="J51">
            <v>42.493152000000002</v>
          </cell>
        </row>
        <row r="52">
          <cell r="A52" t="str">
            <v>M S Flat</v>
          </cell>
          <cell r="B52" t="str">
            <v>Per Kg</v>
          </cell>
          <cell r="C52">
            <v>31.43</v>
          </cell>
          <cell r="D52">
            <v>34.19</v>
          </cell>
          <cell r="E52">
            <v>41.97</v>
          </cell>
          <cell r="F52">
            <v>80</v>
          </cell>
          <cell r="G52">
            <v>55.32</v>
          </cell>
          <cell r="H52">
            <v>59.096666666666664</v>
          </cell>
          <cell r="I52">
            <v>55.32</v>
          </cell>
          <cell r="J52">
            <v>38.246078000000004</v>
          </cell>
        </row>
        <row r="53">
          <cell r="A53" t="str">
            <v>H.T Stay Sets.</v>
          </cell>
          <cell r="B53" t="str">
            <v>Set.</v>
          </cell>
          <cell r="C53">
            <v>900.87</v>
          </cell>
          <cell r="D53">
            <v>485.18</v>
          </cell>
          <cell r="E53">
            <v>534.38</v>
          </cell>
          <cell r="F53">
            <v>1474</v>
          </cell>
          <cell r="G53">
            <v>995</v>
          </cell>
          <cell r="H53">
            <v>1001.1266666666667</v>
          </cell>
          <cell r="I53">
            <v>995</v>
          </cell>
          <cell r="J53">
            <v>543.66172519999998</v>
          </cell>
        </row>
        <row r="54">
          <cell r="A54" t="str">
            <v>L.T Stay Sets.</v>
          </cell>
          <cell r="B54" t="str">
            <v>Set.</v>
          </cell>
          <cell r="C54">
            <v>712.48</v>
          </cell>
          <cell r="D54">
            <v>382.77</v>
          </cell>
          <cell r="E54">
            <v>421.04</v>
          </cell>
          <cell r="F54">
            <v>1227</v>
          </cell>
          <cell r="G54">
            <v>664</v>
          </cell>
          <cell r="H54">
            <v>770.68</v>
          </cell>
          <cell r="I54">
            <v>664</v>
          </cell>
          <cell r="J54">
            <v>428.91519879999998</v>
          </cell>
        </row>
        <row r="55">
          <cell r="A55" t="str">
            <v>G I Wire 6 &amp; 8 SWG</v>
          </cell>
          <cell r="B55" t="str">
            <v>Kg</v>
          </cell>
          <cell r="C55">
            <v>44.61</v>
          </cell>
          <cell r="D55">
            <v>53.84</v>
          </cell>
          <cell r="E55">
            <v>48.49</v>
          </cell>
          <cell r="F55">
            <v>88.57</v>
          </cell>
          <cell r="G55">
            <v>58</v>
          </cell>
          <cell r="H55">
            <v>65.02</v>
          </cell>
          <cell r="I55">
            <v>58</v>
          </cell>
          <cell r="J55">
            <v>50.610314799999998</v>
          </cell>
        </row>
        <row r="56">
          <cell r="A56" t="str">
            <v>G I Stay Wire 7/8 &amp; 7/10</v>
          </cell>
          <cell r="B56" t="str">
            <v>Kg</v>
          </cell>
          <cell r="C56">
            <v>46.73</v>
          </cell>
          <cell r="D56">
            <v>53.43</v>
          </cell>
          <cell r="E56">
            <v>61.57</v>
          </cell>
          <cell r="F56">
            <v>90</v>
          </cell>
          <cell r="G56">
            <v>60</v>
          </cell>
          <cell r="H56">
            <v>70.52</v>
          </cell>
          <cell r="I56">
            <v>60</v>
          </cell>
          <cell r="J56">
            <v>64.663179999999997</v>
          </cell>
        </row>
        <row r="57">
          <cell r="A57" t="str">
            <v>Disc Insulator 45 KN</v>
          </cell>
          <cell r="B57" t="str">
            <v>No.</v>
          </cell>
          <cell r="C57">
            <v>217.91</v>
          </cell>
          <cell r="D57">
            <v>227.1</v>
          </cell>
          <cell r="E57">
            <v>165</v>
          </cell>
          <cell r="F57">
            <v>466</v>
          </cell>
          <cell r="G57">
            <v>320</v>
          </cell>
          <cell r="H57">
            <v>317</v>
          </cell>
          <cell r="I57">
            <v>317</v>
          </cell>
          <cell r="J57">
            <v>187.9221</v>
          </cell>
        </row>
        <row r="58">
          <cell r="A58" t="str">
            <v>Disc Insulator 70 KN</v>
          </cell>
          <cell r="B58" t="str">
            <v>No.</v>
          </cell>
          <cell r="C58">
            <v>220.44</v>
          </cell>
          <cell r="D58">
            <v>245</v>
          </cell>
          <cell r="E58">
            <v>194</v>
          </cell>
          <cell r="F58">
            <v>466</v>
          </cell>
          <cell r="G58">
            <v>350</v>
          </cell>
          <cell r="H58">
            <v>336.66</v>
          </cell>
          <cell r="I58">
            <v>337</v>
          </cell>
          <cell r="J58">
            <v>197.80977999999999</v>
          </cell>
        </row>
        <row r="59">
          <cell r="A59" t="str">
            <v>Galvanised Chanel/Angle/Flat &amp; Gantry Structure</v>
          </cell>
          <cell r="B59" t="str">
            <v>Kg</v>
          </cell>
          <cell r="C59">
            <v>44.92</v>
          </cell>
          <cell r="D59">
            <v>47.92</v>
          </cell>
          <cell r="E59">
            <v>52.71</v>
          </cell>
          <cell r="G59">
            <v>74</v>
          </cell>
          <cell r="I59">
            <v>70</v>
          </cell>
          <cell r="J59">
            <v>59.302152000000007</v>
          </cell>
        </row>
        <row r="60">
          <cell r="A60" t="str">
            <v>Cement Concreting</v>
          </cell>
          <cell r="B60" t="str">
            <v>Cmt.</v>
          </cell>
          <cell r="C60">
            <v>2850</v>
          </cell>
          <cell r="D60">
            <v>3135</v>
          </cell>
          <cell r="E60">
            <v>3448.5</v>
          </cell>
          <cell r="F60">
            <v>6200</v>
          </cell>
          <cell r="G60">
            <v>4200</v>
          </cell>
          <cell r="H60">
            <v>4261.16</v>
          </cell>
          <cell r="I60">
            <v>4200</v>
          </cell>
          <cell r="J60">
            <v>4046</v>
          </cell>
        </row>
        <row r="61">
          <cell r="A61" t="str">
            <v>XLPE Cable 33 KV,3C/300 mm2</v>
          </cell>
          <cell r="J61">
            <v>1933.0350000000001</v>
          </cell>
        </row>
        <row r="62">
          <cell r="A62" t="str">
            <v>XLPE Cable 22 KV,3C/300 mm2</v>
          </cell>
          <cell r="J62">
            <v>1624.8700000000001</v>
          </cell>
        </row>
        <row r="63">
          <cell r="A63" t="str">
            <v>XLPE Cable 22 KV,3C/240mm2</v>
          </cell>
          <cell r="J63">
            <v>1200.1626000000001</v>
          </cell>
        </row>
        <row r="64">
          <cell r="A64" t="str">
            <v>XLPE Cable 22 KV,3C/95 mm2</v>
          </cell>
          <cell r="J64">
            <v>848.29420000000005</v>
          </cell>
        </row>
        <row r="65">
          <cell r="A65" t="str">
            <v>XLPE Cable 11 KV,3C/ 400 mm2</v>
          </cell>
          <cell r="J65">
            <v>1602.4580000000001</v>
          </cell>
        </row>
        <row r="66">
          <cell r="A66" t="str">
            <v>XLPE Cable 11 KV,3C/300 mm2</v>
          </cell>
          <cell r="J66">
            <v>1355.9260000000002</v>
          </cell>
        </row>
        <row r="67">
          <cell r="A67" t="str">
            <v>XLPE Cable 11 KV,3C/240 mm2</v>
          </cell>
          <cell r="J67">
            <v>1149.7356</v>
          </cell>
        </row>
        <row r="68">
          <cell r="A68" t="str">
            <v>XLPE Cable 11 KV,3C/185 mm2</v>
          </cell>
          <cell r="J68">
            <v>997.33400000000006</v>
          </cell>
        </row>
        <row r="69">
          <cell r="A69" t="str">
            <v>XLPE Cable 11 KV,3C/95 mm2</v>
          </cell>
          <cell r="J69">
            <v>649.94799999999998</v>
          </cell>
        </row>
        <row r="70">
          <cell r="A70" t="str">
            <v>XLPE Cable 11 KV,3C/50 mm2</v>
          </cell>
          <cell r="J70">
            <v>442.637</v>
          </cell>
        </row>
        <row r="71">
          <cell r="A71" t="str">
            <v>XLPE Cable 11 KV,3C/35 mm2</v>
          </cell>
          <cell r="J71">
            <v>324.97399999999999</v>
          </cell>
        </row>
        <row r="72">
          <cell r="A72" t="str">
            <v xml:space="preserve">XLPE Cable LT 3.5 Core 300mm2  </v>
          </cell>
          <cell r="J72">
            <v>689.72930000000008</v>
          </cell>
        </row>
        <row r="73">
          <cell r="A73" t="str">
            <v>XLPE Cable LT 3.5 Core 185mm2</v>
          </cell>
          <cell r="J73">
            <v>453.84300000000002</v>
          </cell>
        </row>
        <row r="74">
          <cell r="A74" t="str">
            <v>XLPE Cable LT 3.5 Core 120mm2</v>
          </cell>
          <cell r="J74">
            <v>324.97399999999999</v>
          </cell>
        </row>
        <row r="75">
          <cell r="A75" t="str">
            <v>XLPE Cable LT 3.5 Core 70mm2</v>
          </cell>
          <cell r="J75">
            <v>212.91400000000002</v>
          </cell>
        </row>
        <row r="76">
          <cell r="A76" t="str">
            <v>XLPE Cable LT 3.5 Core 50mm2</v>
          </cell>
          <cell r="J76">
            <v>162.48699999999999</v>
          </cell>
        </row>
        <row r="77">
          <cell r="A77" t="str">
            <v>XLPE Cable LT 3.5 Core 35mm2</v>
          </cell>
          <cell r="J77">
            <v>123.26600000000001</v>
          </cell>
        </row>
        <row r="78">
          <cell r="A78" t="str">
            <v>Allu.  Conductor AAC - GNAT</v>
          </cell>
          <cell r="B78" t="str">
            <v>Km</v>
          </cell>
          <cell r="C78">
            <v>9140</v>
          </cell>
          <cell r="D78">
            <v>10920</v>
          </cell>
          <cell r="E78">
            <v>15188</v>
          </cell>
          <cell r="F78">
            <v>20029</v>
          </cell>
          <cell r="G78">
            <v>13628</v>
          </cell>
          <cell r="H78">
            <v>16281.666666666666</v>
          </cell>
          <cell r="I78">
            <v>15188</v>
          </cell>
          <cell r="J78">
            <v>12.55072</v>
          </cell>
        </row>
        <row r="79">
          <cell r="A79" t="str">
            <v>Allu.  Conductor AAC - ANT</v>
          </cell>
          <cell r="B79" t="str">
            <v>Km</v>
          </cell>
          <cell r="C79">
            <v>17250</v>
          </cell>
          <cell r="D79">
            <v>20650</v>
          </cell>
          <cell r="E79">
            <v>21431</v>
          </cell>
          <cell r="F79">
            <v>39707</v>
          </cell>
          <cell r="G79">
            <v>26523</v>
          </cell>
          <cell r="H79">
            <v>29220.333333333332</v>
          </cell>
          <cell r="I79">
            <v>26523</v>
          </cell>
          <cell r="J79">
            <v>24.989380000000001</v>
          </cell>
        </row>
        <row r="80">
          <cell r="A80" t="str">
            <v>ACSR - Weasal 0.03</v>
          </cell>
          <cell r="B80" t="str">
            <v>Km</v>
          </cell>
          <cell r="C80">
            <v>12980</v>
          </cell>
          <cell r="D80">
            <v>14440</v>
          </cell>
          <cell r="E80">
            <v>15160</v>
          </cell>
          <cell r="F80">
            <v>30161</v>
          </cell>
          <cell r="G80">
            <v>18635</v>
          </cell>
          <cell r="H80">
            <v>21318.666666666668</v>
          </cell>
          <cell r="I80">
            <v>18635</v>
          </cell>
          <cell r="J80">
            <v>16.921060000000001</v>
          </cell>
        </row>
        <row r="81">
          <cell r="A81" t="str">
            <v>ACSR - Raccoon-0.75</v>
          </cell>
          <cell r="B81" t="str">
            <v>Km</v>
          </cell>
          <cell r="C81">
            <v>50000</v>
          </cell>
          <cell r="D81">
            <v>55000</v>
          </cell>
          <cell r="E81">
            <v>60500</v>
          </cell>
          <cell r="F81">
            <v>74930</v>
          </cell>
          <cell r="G81">
            <v>45892</v>
          </cell>
          <cell r="H81">
            <v>60440.666666666664</v>
          </cell>
          <cell r="I81">
            <v>60500</v>
          </cell>
          <cell r="J81">
            <v>47.065200000000004</v>
          </cell>
        </row>
        <row r="82">
          <cell r="A82" t="str">
            <v>ACSR - Dog 0.1</v>
          </cell>
          <cell r="B82" t="str">
            <v>Km</v>
          </cell>
          <cell r="C82">
            <v>41470</v>
          </cell>
          <cell r="D82">
            <v>48370</v>
          </cell>
          <cell r="E82">
            <v>51549</v>
          </cell>
          <cell r="F82">
            <v>92838</v>
          </cell>
          <cell r="G82">
            <v>61099</v>
          </cell>
          <cell r="H82">
            <v>68495.333333333328</v>
          </cell>
          <cell r="I82">
            <v>61099</v>
          </cell>
          <cell r="J82">
            <v>57.385926000000005</v>
          </cell>
        </row>
        <row r="83">
          <cell r="A83" t="str">
            <v>ACSR - Panther 0.2</v>
          </cell>
          <cell r="B83" t="str">
            <v>Km</v>
          </cell>
          <cell r="C83">
            <v>94140</v>
          </cell>
          <cell r="D83">
            <v>117800</v>
          </cell>
          <cell r="E83">
            <v>125895</v>
          </cell>
          <cell r="F83" t="str">
            <v>NA</v>
          </cell>
          <cell r="G83">
            <v>134593</v>
          </cell>
          <cell r="H83">
            <v>130244</v>
          </cell>
          <cell r="I83">
            <v>130244</v>
          </cell>
          <cell r="J83">
            <v>129.687038</v>
          </cell>
        </row>
        <row r="84">
          <cell r="A84" t="str">
            <v>AAAC - 0.34</v>
          </cell>
          <cell r="B84" t="str">
            <v>Km</v>
          </cell>
          <cell r="C84">
            <v>13030</v>
          </cell>
          <cell r="D84">
            <v>14230</v>
          </cell>
          <cell r="E84">
            <v>15188</v>
          </cell>
          <cell r="F84" t="str">
            <v>NA</v>
          </cell>
          <cell r="G84">
            <v>17833</v>
          </cell>
          <cell r="H84">
            <v>16510.5</v>
          </cell>
          <cell r="I84">
            <v>16511</v>
          </cell>
          <cell r="J84">
            <v>17.369299999999999</v>
          </cell>
        </row>
        <row r="85">
          <cell r="A85" t="str">
            <v>AAAC - 0.55</v>
          </cell>
          <cell r="B85" t="str">
            <v>Km</v>
          </cell>
          <cell r="C85">
            <v>20530</v>
          </cell>
          <cell r="D85">
            <v>22660</v>
          </cell>
          <cell r="E85">
            <v>24177</v>
          </cell>
          <cell r="F85" t="str">
            <v>NA</v>
          </cell>
          <cell r="G85">
            <v>28214</v>
          </cell>
          <cell r="H85">
            <v>26195.5</v>
          </cell>
          <cell r="I85">
            <v>26196</v>
          </cell>
          <cell r="J85">
            <v>26.353150200000002</v>
          </cell>
        </row>
        <row r="86">
          <cell r="A86" t="str">
            <v>AAAC - 0.100</v>
          </cell>
          <cell r="B86" t="str">
            <v>Km</v>
          </cell>
          <cell r="C86">
            <v>37320</v>
          </cell>
          <cell r="D86">
            <v>41680</v>
          </cell>
          <cell r="E86">
            <v>44462</v>
          </cell>
          <cell r="F86" t="str">
            <v>NA</v>
          </cell>
          <cell r="G86">
            <v>51429</v>
          </cell>
          <cell r="H86">
            <v>47945.5</v>
          </cell>
          <cell r="I86">
            <v>47946</v>
          </cell>
          <cell r="J86">
            <v>48.777476800000002</v>
          </cell>
        </row>
        <row r="87">
          <cell r="A87" t="str">
            <v>AAAC - 0.234</v>
          </cell>
          <cell r="B87" t="str">
            <v>Km</v>
          </cell>
          <cell r="C87">
            <v>74350</v>
          </cell>
          <cell r="D87">
            <v>102720</v>
          </cell>
          <cell r="E87">
            <v>109293</v>
          </cell>
          <cell r="F87" t="str">
            <v>NA</v>
          </cell>
          <cell r="G87">
            <v>149662</v>
          </cell>
          <cell r="H87">
            <v>129477.5</v>
          </cell>
          <cell r="I87">
            <v>129478</v>
          </cell>
          <cell r="J87">
            <v>115.77927140000001</v>
          </cell>
        </row>
        <row r="88">
          <cell r="A88" t="str">
            <v>19 C x 2.5 Sq.mm Copper Cable Stranded Armoured</v>
          </cell>
          <cell r="B88" t="str">
            <v>Rmt</v>
          </cell>
          <cell r="C88">
            <v>133.53</v>
          </cell>
          <cell r="D88">
            <v>255.95</v>
          </cell>
          <cell r="E88">
            <v>302.86</v>
          </cell>
          <cell r="G88">
            <v>389</v>
          </cell>
          <cell r="I88">
            <v>389</v>
          </cell>
          <cell r="J88">
            <v>330</v>
          </cell>
        </row>
        <row r="89">
          <cell r="A89" t="str">
            <v>12 C x 2.5 Sq.mm Copper Cable Stranded Armoured</v>
          </cell>
          <cell r="B89" t="str">
            <v>Rmt</v>
          </cell>
          <cell r="C89">
            <v>85.43</v>
          </cell>
          <cell r="D89">
            <v>169.66</v>
          </cell>
          <cell r="E89">
            <v>200.08</v>
          </cell>
          <cell r="G89">
            <v>253</v>
          </cell>
          <cell r="I89">
            <v>253</v>
          </cell>
          <cell r="J89">
            <v>225</v>
          </cell>
        </row>
        <row r="90">
          <cell r="A90" t="str">
            <v>7 C x 2.5 Sq.mm Copper Cable Stranded Armoured</v>
          </cell>
          <cell r="B90" t="str">
            <v>Rmt</v>
          </cell>
          <cell r="D90">
            <v>106.92</v>
          </cell>
          <cell r="E90">
            <v>127.83</v>
          </cell>
          <cell r="J90">
            <v>127.83</v>
          </cell>
        </row>
        <row r="91">
          <cell r="A91" t="str">
            <v>4 C x 2.5 Sq.mm Copper Cable Stranded Armoured</v>
          </cell>
          <cell r="B91" t="str">
            <v>Rmt</v>
          </cell>
          <cell r="C91">
            <v>28.34</v>
          </cell>
          <cell r="D91">
            <v>50.34</v>
          </cell>
          <cell r="E91">
            <v>85.21</v>
          </cell>
          <cell r="G91">
            <v>93</v>
          </cell>
          <cell r="I91">
            <v>93</v>
          </cell>
          <cell r="J91">
            <v>93</v>
          </cell>
        </row>
        <row r="92">
          <cell r="A92" t="str">
            <v>2 C x 2.5 Sq.mm Copper Cable Stranded Armoured</v>
          </cell>
          <cell r="B92" t="str">
            <v>Rmt</v>
          </cell>
          <cell r="C92">
            <v>14.69</v>
          </cell>
          <cell r="D92">
            <v>26.74</v>
          </cell>
          <cell r="E92">
            <v>54.06</v>
          </cell>
          <cell r="F92">
            <v>132</v>
          </cell>
          <cell r="G92">
            <v>61.8</v>
          </cell>
          <cell r="I92">
            <v>62</v>
          </cell>
          <cell r="J92">
            <v>52</v>
          </cell>
        </row>
        <row r="93">
          <cell r="A93" t="str">
            <v>L.T.PVC Aluminium Armoured 4 C x 16 Sq.mm Cable</v>
          </cell>
          <cell r="B93" t="str">
            <v>Rmt</v>
          </cell>
          <cell r="C93">
            <v>76.97</v>
          </cell>
          <cell r="D93">
            <v>82.88</v>
          </cell>
          <cell r="G93">
            <v>89</v>
          </cell>
          <cell r="I93">
            <v>89</v>
          </cell>
          <cell r="J93">
            <v>89</v>
          </cell>
        </row>
        <row r="94">
          <cell r="A94" t="str">
            <v>LT Aerial Bunched Cable 3 C x 120 Sq.mm</v>
          </cell>
          <cell r="B94" t="str">
            <v>Rmt</v>
          </cell>
          <cell r="C94">
            <v>216.69</v>
          </cell>
          <cell r="D94">
            <v>226.2</v>
          </cell>
          <cell r="E94">
            <v>272.58999999999997</v>
          </cell>
          <cell r="G94">
            <v>275</v>
          </cell>
          <cell r="I94">
            <v>275</v>
          </cell>
          <cell r="J94">
            <v>275</v>
          </cell>
        </row>
        <row r="95">
          <cell r="A95" t="str">
            <v>LT Aerial Bunched Cable 3 C x70  Sq.mm</v>
          </cell>
          <cell r="B95" t="str">
            <v>Rmt</v>
          </cell>
          <cell r="C95">
            <v>139.85</v>
          </cell>
          <cell r="D95">
            <v>145.79</v>
          </cell>
          <cell r="E95">
            <v>174.46</v>
          </cell>
          <cell r="G95">
            <v>180</v>
          </cell>
          <cell r="I95">
            <v>180</v>
          </cell>
          <cell r="J95">
            <v>180</v>
          </cell>
        </row>
        <row r="96">
          <cell r="A96" t="str">
            <v>LT Aerial Bunched Cable 3 C x 50 Sq.mm</v>
          </cell>
          <cell r="B96" t="str">
            <v>Rmt</v>
          </cell>
          <cell r="C96">
            <v>104.31</v>
          </cell>
          <cell r="D96">
            <v>108.65</v>
          </cell>
          <cell r="E96">
            <v>129.37</v>
          </cell>
          <cell r="G96">
            <v>137</v>
          </cell>
          <cell r="I96">
            <v>137</v>
          </cell>
          <cell r="J96">
            <v>137</v>
          </cell>
        </row>
        <row r="98">
          <cell r="A98" t="str">
            <v>11 kv heat shrink indoor kit 3C  X 95 Sqmm</v>
          </cell>
          <cell r="B98" t="str">
            <v>Kit</v>
          </cell>
          <cell r="C98">
            <v>950</v>
          </cell>
          <cell r="D98">
            <v>1045</v>
          </cell>
          <cell r="E98">
            <v>1149.5</v>
          </cell>
          <cell r="F98">
            <v>5128</v>
          </cell>
          <cell r="G98">
            <v>4171</v>
          </cell>
          <cell r="H98">
            <v>3482.8333333333335</v>
          </cell>
          <cell r="I98">
            <v>4171</v>
          </cell>
          <cell r="J98">
            <v>1264.45</v>
          </cell>
        </row>
        <row r="99">
          <cell r="A99" t="str">
            <v>11 kv heat shrink indoor kit 3C  X 120 Sqmm</v>
          </cell>
          <cell r="B99" t="str">
            <v>Kit</v>
          </cell>
          <cell r="C99">
            <v>1250</v>
          </cell>
          <cell r="D99">
            <v>1375</v>
          </cell>
          <cell r="E99">
            <v>1512.5000000000002</v>
          </cell>
          <cell r="F99">
            <v>5128</v>
          </cell>
          <cell r="G99">
            <v>4992</v>
          </cell>
          <cell r="H99">
            <v>3877.5</v>
          </cell>
          <cell r="I99">
            <v>4992</v>
          </cell>
          <cell r="J99">
            <v>1663.7500000000005</v>
          </cell>
        </row>
        <row r="100">
          <cell r="A100" t="str">
            <v>11 kv heat shrink indoor kit 3C  X 185 Sqmm</v>
          </cell>
          <cell r="B100" t="str">
            <v>Kit</v>
          </cell>
          <cell r="C100">
            <v>1250</v>
          </cell>
          <cell r="D100">
            <v>1375</v>
          </cell>
          <cell r="E100">
            <v>1512.5000000000002</v>
          </cell>
          <cell r="F100">
            <v>5382</v>
          </cell>
          <cell r="G100">
            <v>4992</v>
          </cell>
          <cell r="H100">
            <v>3962.1666666666665</v>
          </cell>
          <cell r="I100">
            <v>4992</v>
          </cell>
          <cell r="J100">
            <v>1663.7500000000005</v>
          </cell>
        </row>
        <row r="101">
          <cell r="A101" t="str">
            <v>11 kv heat shrink indoor kit 3C  X 240 Sqmm</v>
          </cell>
          <cell r="B101" t="str">
            <v>Kit</v>
          </cell>
          <cell r="C101">
            <v>1285</v>
          </cell>
          <cell r="D101">
            <v>1414</v>
          </cell>
          <cell r="E101">
            <v>1555.4</v>
          </cell>
          <cell r="F101">
            <v>7191</v>
          </cell>
          <cell r="G101">
            <v>5325.5</v>
          </cell>
          <cell r="H101">
            <v>4690.6333333333332</v>
          </cell>
          <cell r="I101">
            <v>5325.5</v>
          </cell>
          <cell r="J101">
            <v>1710.9400000000003</v>
          </cell>
        </row>
        <row r="102">
          <cell r="A102" t="str">
            <v>11 kv heat shrink indoor kit 3C  X 300 Sqmm</v>
          </cell>
          <cell r="B102" t="str">
            <v>Kit</v>
          </cell>
          <cell r="C102">
            <v>1350</v>
          </cell>
          <cell r="D102">
            <v>1486</v>
          </cell>
          <cell r="E102">
            <v>1634.6000000000001</v>
          </cell>
          <cell r="F102">
            <v>7191</v>
          </cell>
          <cell r="G102">
            <v>5325.5</v>
          </cell>
          <cell r="H102">
            <v>4717.0333333333338</v>
          </cell>
          <cell r="I102">
            <v>5325.5</v>
          </cell>
          <cell r="J102">
            <v>1798.0600000000004</v>
          </cell>
        </row>
        <row r="103">
          <cell r="A103" t="str">
            <v>11 kv heat shrink  Outdoor kit 3C  X 95 Sqmm</v>
          </cell>
          <cell r="B103" t="str">
            <v>Kit</v>
          </cell>
          <cell r="C103">
            <v>1185</v>
          </cell>
          <cell r="D103">
            <v>1304</v>
          </cell>
          <cell r="E103">
            <v>1434.4</v>
          </cell>
          <cell r="F103">
            <v>7292</v>
          </cell>
          <cell r="G103">
            <v>6719</v>
          </cell>
          <cell r="H103">
            <v>5148.4666666666662</v>
          </cell>
          <cell r="I103">
            <v>6719</v>
          </cell>
          <cell r="J103">
            <v>1577.8400000000001</v>
          </cell>
        </row>
        <row r="104">
          <cell r="A104" t="str">
            <v>11 kv heat shrink outdoor kit 3C  X 120 Sqmm</v>
          </cell>
          <cell r="B104" t="str">
            <v>Kit</v>
          </cell>
          <cell r="C104">
            <v>1550</v>
          </cell>
          <cell r="D104">
            <v>1705</v>
          </cell>
          <cell r="E104">
            <v>1875.5000000000002</v>
          </cell>
          <cell r="F104">
            <v>7292</v>
          </cell>
          <cell r="G104">
            <v>7214.5</v>
          </cell>
          <cell r="H104">
            <v>5460.666666666667</v>
          </cell>
          <cell r="I104">
            <v>7214.5</v>
          </cell>
          <cell r="J104">
            <v>2063.0500000000006</v>
          </cell>
        </row>
        <row r="105">
          <cell r="A105" t="str">
            <v>11 kv heat shrink outdoor kit 3C  X 185 Sqmm</v>
          </cell>
          <cell r="B105" t="str">
            <v>Kit</v>
          </cell>
          <cell r="C105">
            <v>1550</v>
          </cell>
          <cell r="D105">
            <v>1705</v>
          </cell>
          <cell r="E105">
            <v>1875.5000000000002</v>
          </cell>
          <cell r="F105">
            <v>7734</v>
          </cell>
          <cell r="G105">
            <v>7214.5</v>
          </cell>
          <cell r="H105">
            <v>5608</v>
          </cell>
          <cell r="I105">
            <v>7214.5</v>
          </cell>
          <cell r="J105">
            <v>2063.0500000000006</v>
          </cell>
        </row>
        <row r="106">
          <cell r="A106" t="str">
            <v>11 kv heat shrink outdoor kit 3C  X 240 Sqmm</v>
          </cell>
          <cell r="B106" t="str">
            <v>Kit</v>
          </cell>
          <cell r="C106">
            <v>1650</v>
          </cell>
          <cell r="D106">
            <v>1815</v>
          </cell>
          <cell r="E106">
            <v>1996.5000000000002</v>
          </cell>
          <cell r="F106">
            <v>9354</v>
          </cell>
          <cell r="G106">
            <v>8112</v>
          </cell>
          <cell r="H106">
            <v>6487.5</v>
          </cell>
          <cell r="I106">
            <v>8112</v>
          </cell>
          <cell r="J106">
            <v>2196.1500000000005</v>
          </cell>
        </row>
        <row r="107">
          <cell r="A107" t="str">
            <v>11 kv heat shrink outdoor kit 3C  X 300Sqmm</v>
          </cell>
          <cell r="B107" t="str">
            <v>Kit</v>
          </cell>
          <cell r="C107">
            <v>1650</v>
          </cell>
          <cell r="D107">
            <v>1815</v>
          </cell>
          <cell r="E107">
            <v>1996.5000000000002</v>
          </cell>
          <cell r="F107">
            <v>9354</v>
          </cell>
          <cell r="G107">
            <v>8112</v>
          </cell>
          <cell r="H107">
            <v>6487.5</v>
          </cell>
          <cell r="I107">
            <v>8112</v>
          </cell>
          <cell r="J107">
            <v>2196.1500000000005</v>
          </cell>
        </row>
        <row r="108">
          <cell r="A108" t="str">
            <v>11 kv heat shrink Straight through joint  3C  X95Sqmm</v>
          </cell>
          <cell r="B108" t="str">
            <v>Kit</v>
          </cell>
          <cell r="C108">
            <v>3400</v>
          </cell>
          <cell r="D108">
            <v>3740</v>
          </cell>
          <cell r="E108">
            <v>4114</v>
          </cell>
          <cell r="F108">
            <v>17526</v>
          </cell>
          <cell r="G108">
            <v>10967</v>
          </cell>
          <cell r="H108">
            <v>10869</v>
          </cell>
          <cell r="I108">
            <v>10967</v>
          </cell>
          <cell r="J108">
            <v>4525.4000000000005</v>
          </cell>
        </row>
        <row r="109">
          <cell r="A109" t="str">
            <v>11 kv heat shrink Straight through joint  3C  X120 Sqmm</v>
          </cell>
          <cell r="B109" t="str">
            <v>Kit</v>
          </cell>
          <cell r="C109">
            <v>4100</v>
          </cell>
          <cell r="D109">
            <v>4510</v>
          </cell>
          <cell r="E109">
            <v>4961</v>
          </cell>
          <cell r="F109">
            <v>17526</v>
          </cell>
          <cell r="G109">
            <v>13951</v>
          </cell>
          <cell r="H109">
            <v>12146</v>
          </cell>
          <cell r="I109">
            <v>13951</v>
          </cell>
          <cell r="J109">
            <v>5457.1</v>
          </cell>
        </row>
        <row r="110">
          <cell r="A110" t="str">
            <v>11 kv heat shrink Straight through joint  3C  X 185 Sqmm</v>
          </cell>
          <cell r="B110" t="str">
            <v>Kit</v>
          </cell>
          <cell r="C110">
            <v>4100</v>
          </cell>
          <cell r="D110">
            <v>4510</v>
          </cell>
          <cell r="E110">
            <v>4961</v>
          </cell>
          <cell r="F110">
            <v>18751</v>
          </cell>
          <cell r="G110">
            <v>13951</v>
          </cell>
          <cell r="H110">
            <v>12554.333333333334</v>
          </cell>
          <cell r="I110">
            <v>13951</v>
          </cell>
          <cell r="J110">
            <v>5457.1</v>
          </cell>
        </row>
        <row r="111">
          <cell r="A111" t="str">
            <v>11 kv heat shrink Straight through joint  3C  X 240 Sqmm</v>
          </cell>
          <cell r="B111" t="str">
            <v>Kit</v>
          </cell>
          <cell r="C111">
            <v>4300</v>
          </cell>
          <cell r="D111">
            <v>4730</v>
          </cell>
          <cell r="E111">
            <v>5203</v>
          </cell>
          <cell r="F111">
            <v>18751</v>
          </cell>
          <cell r="G111">
            <v>15258</v>
          </cell>
          <cell r="H111">
            <v>13070.666666666666</v>
          </cell>
          <cell r="I111">
            <v>15258</v>
          </cell>
          <cell r="J111">
            <v>5723.3</v>
          </cell>
        </row>
        <row r="112">
          <cell r="A112" t="str">
            <v>11 kv heat shrink Straight through joint  3C  X 300 Sqmm</v>
          </cell>
          <cell r="B112" t="str">
            <v>Kit</v>
          </cell>
          <cell r="C112">
            <v>4300</v>
          </cell>
          <cell r="D112">
            <v>4730</v>
          </cell>
          <cell r="E112">
            <v>5203</v>
          </cell>
          <cell r="F112">
            <v>21068</v>
          </cell>
          <cell r="G112">
            <v>15258</v>
          </cell>
          <cell r="H112">
            <v>13843</v>
          </cell>
          <cell r="I112">
            <v>15258</v>
          </cell>
          <cell r="J112">
            <v>5723.3</v>
          </cell>
        </row>
        <row r="113">
          <cell r="A113" t="str">
            <v>22 kv heat shrink indoor kit 3C  X 95 Sqmm</v>
          </cell>
          <cell r="B113" t="str">
            <v>Kit</v>
          </cell>
          <cell r="C113">
            <v>7335</v>
          </cell>
          <cell r="D113">
            <v>8069</v>
          </cell>
          <cell r="E113">
            <v>8875.9000000000015</v>
          </cell>
          <cell r="F113">
            <v>6991</v>
          </cell>
          <cell r="G113">
            <v>8875.9</v>
          </cell>
          <cell r="H113">
            <v>8247.6</v>
          </cell>
          <cell r="I113">
            <v>8876</v>
          </cell>
          <cell r="J113">
            <v>9763.4900000000016</v>
          </cell>
        </row>
        <row r="114">
          <cell r="A114" t="str">
            <v>22 kv heat shrink indoor kit 3C  X 120 Sqmm</v>
          </cell>
          <cell r="B114" t="str">
            <v>Kit</v>
          </cell>
          <cell r="C114">
            <v>7335</v>
          </cell>
          <cell r="D114">
            <v>8069</v>
          </cell>
          <cell r="E114">
            <v>8875.9000000000015</v>
          </cell>
          <cell r="F114">
            <v>6991</v>
          </cell>
          <cell r="G114">
            <v>8875.9</v>
          </cell>
          <cell r="H114">
            <v>8247.6</v>
          </cell>
          <cell r="I114">
            <v>8876</v>
          </cell>
          <cell r="J114">
            <v>9763.4900000000016</v>
          </cell>
        </row>
        <row r="115">
          <cell r="A115" t="str">
            <v>22 kv heat shrink indoor kit 3C  X 240 Sqmm</v>
          </cell>
          <cell r="B115" t="str">
            <v>Kit</v>
          </cell>
          <cell r="C115">
            <v>7335</v>
          </cell>
          <cell r="D115">
            <v>8069</v>
          </cell>
          <cell r="E115">
            <v>8875.9000000000015</v>
          </cell>
          <cell r="F115">
            <v>8532</v>
          </cell>
          <cell r="G115">
            <v>8875.9</v>
          </cell>
          <cell r="H115">
            <v>8761.2666666666682</v>
          </cell>
          <cell r="I115">
            <v>8876</v>
          </cell>
          <cell r="J115">
            <v>9763.4900000000016</v>
          </cell>
        </row>
        <row r="116">
          <cell r="A116" t="str">
            <v>22  kv heat shrink indoor kit 3C  X 300 Sqmm</v>
          </cell>
          <cell r="B116" t="str">
            <v>Kit</v>
          </cell>
          <cell r="C116">
            <v>11150</v>
          </cell>
          <cell r="D116">
            <v>8069</v>
          </cell>
          <cell r="E116">
            <v>8875.9000000000015</v>
          </cell>
          <cell r="F116">
            <v>10712</v>
          </cell>
          <cell r="G116">
            <v>8875.9</v>
          </cell>
          <cell r="H116">
            <v>9487.9333333333343</v>
          </cell>
          <cell r="I116">
            <v>8876</v>
          </cell>
          <cell r="J116">
            <v>9763.4900000000016</v>
          </cell>
        </row>
        <row r="117">
          <cell r="A117" t="str">
            <v>22 kv heat shrink outdoor kit 3C  X 300Sqmm</v>
          </cell>
          <cell r="B117" t="str">
            <v>Kit</v>
          </cell>
          <cell r="C117">
            <v>11150</v>
          </cell>
          <cell r="D117">
            <v>12265</v>
          </cell>
          <cell r="E117">
            <v>13491.500000000002</v>
          </cell>
          <cell r="F117">
            <v>10712</v>
          </cell>
          <cell r="G117">
            <v>14005</v>
          </cell>
          <cell r="H117">
            <v>12736.166666666666</v>
          </cell>
          <cell r="I117">
            <v>14005</v>
          </cell>
          <cell r="J117">
            <v>14840.650000000003</v>
          </cell>
        </row>
        <row r="118">
          <cell r="A118" t="str">
            <v>22  kv heat shrink Straight through joint  3C  X 300 Sqmm</v>
          </cell>
          <cell r="B118" t="str">
            <v>Kit</v>
          </cell>
          <cell r="E118">
            <v>0</v>
          </cell>
          <cell r="G118">
            <v>30770.5</v>
          </cell>
          <cell r="I118">
            <v>30770.5</v>
          </cell>
          <cell r="J118">
            <v>0</v>
          </cell>
        </row>
        <row r="119">
          <cell r="A119" t="str">
            <v>33  kv heat shrink indoor kit 3C  X 300 Sqmm</v>
          </cell>
          <cell r="B119" t="str">
            <v>Kit</v>
          </cell>
          <cell r="C119">
            <v>11500</v>
          </cell>
          <cell r="D119">
            <v>12650</v>
          </cell>
          <cell r="E119">
            <v>13915.000000000002</v>
          </cell>
          <cell r="F119">
            <v>12332</v>
          </cell>
          <cell r="G119">
            <v>12697</v>
          </cell>
          <cell r="H119">
            <v>12981.333333333334</v>
          </cell>
          <cell r="I119">
            <v>12697</v>
          </cell>
          <cell r="J119">
            <v>15306.500000000004</v>
          </cell>
        </row>
        <row r="120">
          <cell r="A120" t="str">
            <v>33 kv heat shrink outdoor kit 3C  X 300Sqmm</v>
          </cell>
          <cell r="B120" t="str">
            <v>Kit</v>
          </cell>
          <cell r="C120">
            <v>15470</v>
          </cell>
          <cell r="D120">
            <v>17017</v>
          </cell>
          <cell r="E120">
            <v>18718.7</v>
          </cell>
          <cell r="F120">
            <v>16806</v>
          </cell>
          <cell r="G120">
            <v>20406</v>
          </cell>
          <cell r="H120">
            <v>18643.566666666666</v>
          </cell>
          <cell r="I120">
            <v>20406</v>
          </cell>
          <cell r="J120">
            <v>20590.570000000003</v>
          </cell>
        </row>
        <row r="121">
          <cell r="A121" t="str">
            <v>33  kv heat shrink Straight through joint  3C  X 300 Sqmm</v>
          </cell>
          <cell r="B121" t="str">
            <v>Kit</v>
          </cell>
          <cell r="C121">
            <v>30000</v>
          </cell>
          <cell r="D121">
            <v>33000</v>
          </cell>
          <cell r="E121">
            <v>36300</v>
          </cell>
          <cell r="F121">
            <v>43461</v>
          </cell>
          <cell r="G121">
            <v>39006.5</v>
          </cell>
          <cell r="H121">
            <v>39589.166666666664</v>
          </cell>
          <cell r="I121">
            <v>39006.5</v>
          </cell>
          <cell r="J121">
            <v>39930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F"/>
      <sheetName val="Names &amp; Formulae"/>
      <sheetName val="Tax Inv."/>
      <sheetName val="IPC PV"/>
      <sheetName val="Abstract"/>
      <sheetName val="Invoice for Material PV"/>
      <sheetName val="Summary"/>
      <sheetName val="Estimate Rate"/>
      <sheetName val="RBPL Variation in %"/>
      <sheetName val="MSEDCL Variation in %"/>
      <sheetName val="Invoice-Wise"/>
      <sheetName val="Old PV DTC"/>
      <sheetName val="New PV DTC"/>
      <sheetName val="New PV PWR_TRF"/>
      <sheetName val="RSJ"/>
      <sheetName val="Switchgear"/>
      <sheetName val="XLPE-Cable"/>
      <sheetName val="Conductor"/>
    </sheetNames>
    <sheetDataSet>
      <sheetData sheetId="0">
        <row r="12">
          <cell r="C12" t="str">
            <v>M/s. Rajdeep Buildcon Pvt. Ltd</v>
          </cell>
        </row>
      </sheetData>
      <sheetData sheetId="1" refreshError="1"/>
      <sheetData sheetId="2"/>
      <sheetData sheetId="3">
        <row r="30">
          <cell r="F30">
            <v>83986.692880035131</v>
          </cell>
        </row>
      </sheetData>
      <sheetData sheetId="4" refreshError="1"/>
      <sheetData sheetId="5" refreshError="1"/>
      <sheetData sheetId="6"/>
      <sheetData sheetId="7">
        <row r="3">
          <cell r="C3" t="str">
            <v>Items</v>
          </cell>
        </row>
      </sheetData>
      <sheetData sheetId="8">
        <row r="2">
          <cell r="B2">
            <v>0</v>
          </cell>
          <cell r="I2">
            <v>0</v>
          </cell>
        </row>
        <row r="3">
          <cell r="A3" t="str">
            <v>Sl No.</v>
          </cell>
          <cell r="B3" t="str">
            <v>Mat Code</v>
          </cell>
          <cell r="C3" t="str">
            <v>Inspection/ Milestone Month</v>
          </cell>
          <cell r="D3" t="str">
            <v>IEEMA Month</v>
          </cell>
          <cell r="E3" t="str">
            <v>P = PO/100 x</v>
          </cell>
          <cell r="F3" t="str">
            <v>As per old PVC</v>
          </cell>
          <cell r="G3" t="str">
            <v>Step-I:As per old PVC</v>
          </cell>
          <cell r="H3" t="str">
            <v>Step-II:As per New PVC</v>
          </cell>
          <cell r="I3" t="str">
            <v>Applicable %</v>
          </cell>
          <cell r="J3" t="str">
            <v xml:space="preserve">100 KVA, 11/0.43 KV Dist. Transformer </v>
          </cell>
          <cell r="K3" t="str">
            <v xml:space="preserve">200 KVA, 11/0.43 KV Dist. Transformer </v>
          </cell>
          <cell r="L3" t="str">
            <v xml:space="preserve">315 KVA, 11/0.43 KV Dist. Transformer </v>
          </cell>
          <cell r="M3" t="str">
            <v xml:space="preserve">995 KVA, 11/0.43 KV Dist. Transformer </v>
          </cell>
          <cell r="N3" t="str">
            <v xml:space="preserve">630 KVA, 11/0.43 KV Dist. Transformer </v>
          </cell>
          <cell r="O3" t="str">
            <v xml:space="preserve">315 KVA, 22/0.43 KV Dist. Transformer </v>
          </cell>
          <cell r="P3" t="str">
            <v xml:space="preserve">500 KVA, 22/0.43 KV Dist. Transformer </v>
          </cell>
          <cell r="Q3" t="str">
            <v xml:space="preserve">630 KVA, 22/0.43 KV Dist. Transformer </v>
          </cell>
          <cell r="R3" t="str">
            <v xml:space="preserve">Power Transformer 33/11 KV, 10 MVA </v>
          </cell>
          <cell r="S3" t="str">
            <v xml:space="preserve">Power Transformer 33/11 KV, 5 MVA </v>
          </cell>
          <cell r="T3" t="str">
            <v>33KV HT- XLPE cable 3Cx300 Sqmm</v>
          </cell>
          <cell r="U3" t="str">
            <v>22KV HT- XLPE cable 3Cx300 Sqmm</v>
          </cell>
          <cell r="V3" t="str">
            <v>22KV HT- XLPE cable 3Cx95 Sqmm</v>
          </cell>
          <cell r="W3" t="str">
            <v>22KV HT- XLPE cable 3Cx185 Sqmm</v>
          </cell>
          <cell r="X3" t="str">
            <v>11KV HT- XLPE cable 3Cx300 Sqmm</v>
          </cell>
          <cell r="Y3" t="str">
            <v>11KV HT- XLPE cable 3Cx240 Sqmm</v>
          </cell>
          <cell r="Z3" t="str">
            <v>11KV HT- XLPE cable 3Cx185 Sqmm</v>
          </cell>
          <cell r="AA3" t="str">
            <v>11KV HT- XLPE cable 3Cx95 Sqmm</v>
          </cell>
          <cell r="AB3" t="str">
            <v>LT- XLPE cable 3.5Cx300 Sqmm</v>
          </cell>
          <cell r="AC3" t="str">
            <v>LT- XLPE cable 1Cx300 Sqmm</v>
          </cell>
          <cell r="AD3" t="str">
            <v>LT- XLPE cable 3.5Cx240 Sqmm</v>
          </cell>
          <cell r="AE3" t="str">
            <v>LT- XLPE cable 3.5Cx185 Sqmm</v>
          </cell>
          <cell r="AF3" t="str">
            <v>LT- XLPE cable 3.5Cx120 Sqmm</v>
          </cell>
          <cell r="AG3" t="str">
            <v>LT- XLPE cable 3.5Cx95 Sqmm</v>
          </cell>
          <cell r="AH3" t="str">
            <v>LT- XLPE cable 3.5Cx70 Sqmm</v>
          </cell>
          <cell r="AI3" t="str">
            <v>LT- XLPE cable 3.5Cx50 Sqmm</v>
          </cell>
          <cell r="AJ3" t="str">
            <v>LT- XLPE cable 3.5Cx35 Sqmm</v>
          </cell>
          <cell r="AK3" t="str">
            <v>L.T.XLPE  Armoured cable 4 core 16sq.mm.</v>
          </cell>
          <cell r="AL3" t="str">
            <v>19 C X 2.5 sq mm  Copper Cable</v>
          </cell>
          <cell r="AM3" t="str">
            <v>12 C X 2.5 sq mm  Copper Cable</v>
          </cell>
          <cell r="AN3" t="str">
            <v>4 C X 2.5 sq mm  Copper Cable</v>
          </cell>
          <cell r="AO3" t="str">
            <v>4 C X 2.5 sq mm  Copper Cable Un Arm</v>
          </cell>
          <cell r="AP3" t="str">
            <v>2 C X 2.5 sq mm  Copper Cable</v>
          </cell>
          <cell r="AQ3" t="str">
            <v>2 C X 2.5 sq mm  Copper Arm Cable</v>
          </cell>
          <cell r="AR3" t="str">
            <v>RSJ 100 x 116 mm-9 mtr  long</v>
          </cell>
          <cell r="AS3" t="str">
            <v>RSJ 100 x 116 mm-10 mtr  long</v>
          </cell>
          <cell r="AT3" t="str">
            <v>RSJ 100 x 116 mm-11 mtr  long</v>
          </cell>
          <cell r="AU3" t="str">
            <v>RSJ 100 x 116 mm-13 mtr  long</v>
          </cell>
          <cell r="AV3" t="str">
            <v>RSJ 152x152, 11 m long</v>
          </cell>
          <cell r="AW3" t="str">
            <v>RSJ 152x152, 13 m long</v>
          </cell>
          <cell r="AX3" t="str">
            <v>11 kv RMU ( 2 Iso + 1 Breaker)</v>
          </cell>
          <cell r="AY3" t="str">
            <v>11 kv RMU ( 2 Iso + 1 Breaker)  104C &amp; 102C</v>
          </cell>
          <cell r="AZ3" t="str">
            <v>11 kv RMU ( 2 Iso + 2 Breaker)</v>
          </cell>
          <cell r="BA3" t="str">
            <v>22 kv RMU ( 3 Iso + 2 Breaker)</v>
          </cell>
          <cell r="BB3" t="str">
            <v>22 kv RMU ( 2 Iso + 1 Breaker)</v>
          </cell>
          <cell r="BC3" t="str">
            <v>22 kv RMU ( 2 Iso + 1 Breaker) Act.501</v>
          </cell>
          <cell r="BD3" t="str">
            <v>22 kv RMU ( 2 Iso + 2 Breaker)</v>
          </cell>
          <cell r="BE3" t="str">
            <v>MS Channel 100x50x6 mm</v>
          </cell>
          <cell r="BF3" t="str">
            <v>MS Channel 75x40x6 mm</v>
          </cell>
          <cell r="BG3" t="str">
            <v>MS angle 50x50x6 mm</v>
          </cell>
          <cell r="BH3" t="str">
            <v>MS Flat 50x10 mm</v>
          </cell>
          <cell r="BI3" t="str">
            <v>MS Flat 50x6 mm</v>
          </cell>
          <cell r="BJ3" t="str">
            <v>MS Flat 75x10 mm</v>
          </cell>
          <cell r="BK3" t="str">
            <v>33 kv VCBs</v>
          </cell>
          <cell r="BL3" t="str">
            <v>33 kv ID VCBs New-6</v>
          </cell>
          <cell r="BM3" t="str">
            <v>33 kv ID VCBs</v>
          </cell>
          <cell r="BN3" t="str">
            <v>11 kv ID VCBs( 1+1+4)</v>
          </cell>
          <cell r="BO3" t="str">
            <v>11KV Switchgear</v>
          </cell>
          <cell r="BP3" t="str">
            <v>33 KV Isolators with EB (800A)</v>
          </cell>
          <cell r="BQ3" t="str">
            <v>33 KV Isolators without EB (800 Amp.)</v>
          </cell>
          <cell r="BR3" t="str">
            <v>11kv Isolator Without EB (800Amp)</v>
          </cell>
          <cell r="BS3" t="str">
            <v>ACSR PANTHAR CONDUCTOR</v>
          </cell>
          <cell r="BT3" t="str">
            <v>ACSR Dog</v>
          </cell>
          <cell r="BU3" t="str">
            <v>AAC ANT CONDUCTOR</v>
          </cell>
          <cell r="BV3" t="str">
            <v>AAC GNAT CONDUCTOR</v>
          </cell>
        </row>
        <row r="4">
          <cell r="A4">
            <v>-2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</row>
        <row r="5">
          <cell r="A5">
            <v>1</v>
          </cell>
          <cell r="B5" t="str">
            <v>DTC</v>
          </cell>
          <cell r="C5">
            <v>42658</v>
          </cell>
          <cell r="D5">
            <v>42598</v>
          </cell>
          <cell r="E5">
            <v>101.64662091291655</v>
          </cell>
          <cell r="F5">
            <v>1.6500000000000001E-2</v>
          </cell>
          <cell r="G5">
            <v>0</v>
          </cell>
          <cell r="H5">
            <v>0</v>
          </cell>
          <cell r="I5">
            <v>1.6500000000000001E-2</v>
          </cell>
          <cell r="J5">
            <v>1.1811651023731362E-2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1.886743604738079E-3</v>
          </cell>
          <cell r="S5">
            <v>1.8867436047380354E-3</v>
          </cell>
          <cell r="T5">
            <v>5.0841028156509279E-3</v>
          </cell>
          <cell r="U5">
            <v>0</v>
          </cell>
          <cell r="V5">
            <v>0</v>
          </cell>
          <cell r="W5">
            <v>0</v>
          </cell>
          <cell r="X5">
            <v>8.355148500647858E-3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4.7481159562808286E-3</v>
          </cell>
          <cell r="AM5">
            <v>4.482541958497256E-3</v>
          </cell>
          <cell r="AN5">
            <v>4.4163227149756424E-3</v>
          </cell>
          <cell r="AO5">
            <v>4.4163227149756424E-3</v>
          </cell>
          <cell r="AP5">
            <v>3.7203243229941962E-3</v>
          </cell>
          <cell r="AQ5">
            <v>0</v>
          </cell>
          <cell r="AR5">
            <v>-2.7759215842913111E-2</v>
          </cell>
          <cell r="AS5">
            <v>-3.0843573158792346E-2</v>
          </cell>
          <cell r="AT5">
            <v>0</v>
          </cell>
          <cell r="AU5">
            <v>0</v>
          </cell>
          <cell r="AV5">
            <v>-3.3927930474671582E-2</v>
          </cell>
          <cell r="AW5">
            <v>-6.4503298649474419E-2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-0.16356046990245376</v>
          </cell>
          <cell r="BF5">
            <v>-0.16356046990245376</v>
          </cell>
          <cell r="BG5">
            <v>-0.16356046990245376</v>
          </cell>
          <cell r="BH5">
            <v>-0.16356046990245376</v>
          </cell>
          <cell r="BI5">
            <v>-0.16356046990245376</v>
          </cell>
          <cell r="BJ5">
            <v>-0.16356046990245376</v>
          </cell>
          <cell r="BK5">
            <v>1.1653832448330625E-2</v>
          </cell>
          <cell r="BL5">
            <v>1.1653832448330625E-2</v>
          </cell>
          <cell r="BM5">
            <v>1.1653832448330625E-2</v>
          </cell>
          <cell r="BN5">
            <v>1.1653832448330625E-2</v>
          </cell>
          <cell r="BO5">
            <v>1.1653832448330625E-2</v>
          </cell>
          <cell r="BP5">
            <v>1.1653832448330625E-2</v>
          </cell>
          <cell r="BQ5">
            <v>1.1653832448330625E-2</v>
          </cell>
          <cell r="BR5">
            <v>1.1653832448330625E-2</v>
          </cell>
          <cell r="BS5">
            <v>3.6871939762165115E-2</v>
          </cell>
          <cell r="BT5">
            <v>3.6871939762165115E-2</v>
          </cell>
          <cell r="BU5">
            <v>0</v>
          </cell>
          <cell r="BV5">
            <v>0</v>
          </cell>
        </row>
        <row r="6">
          <cell r="A6">
            <v>2</v>
          </cell>
          <cell r="B6" t="str">
            <v>DTC</v>
          </cell>
          <cell r="C6">
            <v>42689</v>
          </cell>
          <cell r="D6">
            <v>42629</v>
          </cell>
          <cell r="E6">
            <v>101.87454216091905</v>
          </cell>
          <cell r="F6">
            <v>1.8700000000000001E-2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-3.3120000000000004E-2</v>
          </cell>
          <cell r="AS6">
            <v>-3.6800000000000006E-2</v>
          </cell>
          <cell r="AT6">
            <v>0</v>
          </cell>
          <cell r="AU6">
            <v>0</v>
          </cell>
          <cell r="AV6">
            <v>-4.0480000000000009E-2</v>
          </cell>
          <cell r="AW6">
            <v>-7.6960000000000015E-2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-0.16000000000000003</v>
          </cell>
          <cell r="BF6">
            <v>-0.16000000000000003</v>
          </cell>
          <cell r="BG6">
            <v>-0.16000000000000003</v>
          </cell>
          <cell r="BH6">
            <v>-0.16000000000000003</v>
          </cell>
          <cell r="BI6">
            <v>-0.16000000000000003</v>
          </cell>
          <cell r="BJ6">
            <v>-0.16000000000000003</v>
          </cell>
          <cell r="BK6">
            <v>5.2959245928938525E-3</v>
          </cell>
          <cell r="BL6">
            <v>5.2959245928938525E-3</v>
          </cell>
          <cell r="BM6">
            <v>5.2959245928938525E-3</v>
          </cell>
          <cell r="BN6">
            <v>5.2959245928938525E-3</v>
          </cell>
          <cell r="BO6">
            <v>5.2959245928938525E-3</v>
          </cell>
          <cell r="BP6">
            <v>5.2959245928938525E-3</v>
          </cell>
          <cell r="BQ6">
            <v>5.2959245928938525E-3</v>
          </cell>
          <cell r="BR6">
            <v>5.2959245928938525E-3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</row>
        <row r="7">
          <cell r="A7">
            <v>3</v>
          </cell>
          <cell r="B7" t="str">
            <v>DTC</v>
          </cell>
          <cell r="C7">
            <v>42719</v>
          </cell>
          <cell r="D7">
            <v>42659</v>
          </cell>
          <cell r="E7">
            <v>98.878279536051792</v>
          </cell>
          <cell r="F7">
            <v>-1.12E-2</v>
          </cell>
          <cell r="G7">
            <v>0</v>
          </cell>
          <cell r="H7">
            <v>0</v>
          </cell>
          <cell r="I7">
            <v>0</v>
          </cell>
          <cell r="J7">
            <v>3.3119798038969512E-3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-6.6634442147156456E-3</v>
          </cell>
          <cell r="S7">
            <v>-6.6634442147156031E-3</v>
          </cell>
          <cell r="T7">
            <v>7.2074285694609811E-3</v>
          </cell>
          <cell r="U7">
            <v>0</v>
          </cell>
          <cell r="V7">
            <v>0</v>
          </cell>
          <cell r="W7">
            <v>0</v>
          </cell>
          <cell r="X7">
            <v>1.0513836910511914E-2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1.7445627005720346E-2</v>
          </cell>
          <cell r="AG7">
            <v>0</v>
          </cell>
          <cell r="AH7">
            <v>1.5804853181432967E-2</v>
          </cell>
          <cell r="AI7">
            <v>0</v>
          </cell>
          <cell r="AJ7">
            <v>0</v>
          </cell>
          <cell r="AK7">
            <v>0</v>
          </cell>
          <cell r="AL7">
            <v>1.9328919757835659E-3</v>
          </cell>
          <cell r="AM7">
            <v>1.8972136236677579E-3</v>
          </cell>
          <cell r="AN7">
            <v>1.8883174459285773E-3</v>
          </cell>
          <cell r="AO7">
            <v>1.8883174459285773E-3</v>
          </cell>
          <cell r="AP7">
            <v>1.7948140310296669E-3</v>
          </cell>
          <cell r="AQ7">
            <v>0</v>
          </cell>
          <cell r="AR7">
            <v>-1.8655114971510914E-2</v>
          </cell>
          <cell r="AS7">
            <v>-2.0727905523901018E-2</v>
          </cell>
          <cell r="AT7">
            <v>0</v>
          </cell>
          <cell r="AU7">
            <v>0</v>
          </cell>
          <cell r="AV7">
            <v>-2.2800696076291121E-2</v>
          </cell>
          <cell r="AW7">
            <v>-4.3348358943462562E-2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-0.10538149645728012</v>
          </cell>
          <cell r="BF7">
            <v>-0.10538149645728012</v>
          </cell>
          <cell r="BG7">
            <v>-0.10538149645728012</v>
          </cell>
          <cell r="BH7">
            <v>-0.10538149645728011</v>
          </cell>
          <cell r="BI7">
            <v>-0.10538149645728011</v>
          </cell>
          <cell r="BJ7">
            <v>-0.10538149645728011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6.5771387297663159E-2</v>
          </cell>
          <cell r="BT7">
            <v>6.5771387297663159E-2</v>
          </cell>
          <cell r="BU7">
            <v>0</v>
          </cell>
          <cell r="BV7">
            <v>0</v>
          </cell>
        </row>
        <row r="8">
          <cell r="A8">
            <v>4</v>
          </cell>
          <cell r="B8" t="str">
            <v>DTC</v>
          </cell>
          <cell r="C8">
            <v>42750</v>
          </cell>
          <cell r="D8">
            <v>42690</v>
          </cell>
          <cell r="E8">
            <v>97.854986600759304</v>
          </cell>
          <cell r="F8">
            <v>-2.1499999999999998E-2</v>
          </cell>
          <cell r="G8">
            <v>0</v>
          </cell>
          <cell r="H8">
            <v>0</v>
          </cell>
          <cell r="I8">
            <v>0</v>
          </cell>
          <cell r="J8">
            <v>1.1604297203438869E-2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2.1473926228439178E-2</v>
          </cell>
          <cell r="S8">
            <v>2.1473926228439091E-2</v>
          </cell>
          <cell r="T8">
            <v>2.28513597439657E-2</v>
          </cell>
          <cell r="U8">
            <v>0</v>
          </cell>
          <cell r="V8">
            <v>0</v>
          </cell>
          <cell r="W8">
            <v>0</v>
          </cell>
          <cell r="X8">
            <v>3.1291086665522917E-2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4.6989418361600872E-2</v>
          </cell>
          <cell r="AG8">
            <v>0</v>
          </cell>
          <cell r="AH8">
            <v>4.0666826255231089E-2</v>
          </cell>
          <cell r="AI8">
            <v>0</v>
          </cell>
          <cell r="AJ8">
            <v>0</v>
          </cell>
          <cell r="AK8">
            <v>0</v>
          </cell>
          <cell r="AL8">
            <v>7.0487723778270103E-2</v>
          </cell>
          <cell r="AM8">
            <v>6.7671424690104412E-2</v>
          </cell>
          <cell r="AN8">
            <v>6.9280352969504702E-2</v>
          </cell>
          <cell r="AO8">
            <v>6.9280352969504702E-2</v>
          </cell>
          <cell r="AP8">
            <v>6.307642014346003E-2</v>
          </cell>
          <cell r="AQ8">
            <v>0</v>
          </cell>
          <cell r="AR8">
            <v>-1.8790155796144709E-2</v>
          </cell>
          <cell r="AS8">
            <v>-2.0877950884605236E-2</v>
          </cell>
          <cell r="AT8">
            <v>0</v>
          </cell>
          <cell r="AU8">
            <v>0</v>
          </cell>
          <cell r="AV8">
            <v>-2.2965745973065756E-2</v>
          </cell>
          <cell r="AW8">
            <v>-4.3662149458674422E-2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-0.10628275892042251</v>
          </cell>
          <cell r="BF8">
            <v>-0.10628275892042251</v>
          </cell>
          <cell r="BG8">
            <v>-0.10628275892042251</v>
          </cell>
          <cell r="BH8">
            <v>-0.10628275892042251</v>
          </cell>
          <cell r="BI8">
            <v>-0.10628275892042251</v>
          </cell>
          <cell r="BJ8">
            <v>-0.10628275892042251</v>
          </cell>
          <cell r="BK8">
            <v>6.0414590902491128E-4</v>
          </cell>
          <cell r="BL8">
            <v>6.0414590902491128E-4</v>
          </cell>
          <cell r="BM8">
            <v>6.0414590902491128E-4</v>
          </cell>
          <cell r="BN8">
            <v>6.0414590902491128E-4</v>
          </cell>
          <cell r="BO8">
            <v>6.0414590902491128E-4</v>
          </cell>
          <cell r="BP8">
            <v>6.0414590902491128E-4</v>
          </cell>
          <cell r="BQ8">
            <v>6.0414590902491128E-4</v>
          </cell>
          <cell r="BR8">
            <v>6.0414590902491128E-4</v>
          </cell>
          <cell r="BS8">
            <v>0.14257744806539296</v>
          </cell>
          <cell r="BT8">
            <v>0.14257744806539296</v>
          </cell>
          <cell r="BU8">
            <v>0</v>
          </cell>
          <cell r="BV8">
            <v>0</v>
          </cell>
        </row>
        <row r="9">
          <cell r="A9">
            <v>5</v>
          </cell>
          <cell r="B9" t="str">
            <v>DTC</v>
          </cell>
          <cell r="C9">
            <v>42781</v>
          </cell>
          <cell r="D9">
            <v>42721</v>
          </cell>
          <cell r="E9">
            <v>98.385542875748342</v>
          </cell>
          <cell r="F9">
            <v>-1.61E-2</v>
          </cell>
          <cell r="G9">
            <v>0</v>
          </cell>
          <cell r="H9">
            <v>0</v>
          </cell>
          <cell r="I9">
            <v>-1.61E-2</v>
          </cell>
          <cell r="J9">
            <v>9.960666506181725E-3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2.9126191027678581E-2</v>
          </cell>
          <cell r="S9">
            <v>2.9126191027678591E-2</v>
          </cell>
          <cell r="T9">
            <v>3.2305200821894149E-2</v>
          </cell>
          <cell r="U9">
            <v>0</v>
          </cell>
          <cell r="V9">
            <v>0</v>
          </cell>
          <cell r="W9">
            <v>0</v>
          </cell>
          <cell r="X9">
            <v>4.097625811904676E-2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5.316894065163464E-2</v>
          </cell>
          <cell r="AG9">
            <v>0</v>
          </cell>
          <cell r="AH9">
            <v>4.2462637929076327E-2</v>
          </cell>
          <cell r="AI9">
            <v>0</v>
          </cell>
          <cell r="AJ9">
            <v>0</v>
          </cell>
          <cell r="AK9">
            <v>0</v>
          </cell>
          <cell r="AL9">
            <v>9.3855335070636675E-2</v>
          </cell>
          <cell r="AM9">
            <v>9.0676226841610627E-2</v>
          </cell>
          <cell r="AN9">
            <v>9.6817001175620809E-2</v>
          </cell>
          <cell r="AO9">
            <v>9.6817001175620809E-2</v>
          </cell>
          <cell r="AP9">
            <v>9.2015909789977493E-2</v>
          </cell>
          <cell r="AQ9">
            <v>0</v>
          </cell>
          <cell r="AR9">
            <v>-8.8623763416361932E-3</v>
          </cell>
          <cell r="AS9">
            <v>-9.8470848240402153E-3</v>
          </cell>
          <cell r="AT9">
            <v>0</v>
          </cell>
          <cell r="AU9">
            <v>0</v>
          </cell>
          <cell r="AV9">
            <v>-1.0831793306444236E-2</v>
          </cell>
          <cell r="AW9">
            <v>-2.0593251305927578E-2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-5.9081850407617931E-2</v>
          </cell>
          <cell r="BF9">
            <v>-5.9081850407617931E-2</v>
          </cell>
          <cell r="BG9">
            <v>-5.9081850407617931E-2</v>
          </cell>
          <cell r="BH9">
            <v>-5.9081850407617931E-2</v>
          </cell>
          <cell r="BI9">
            <v>-5.9081850407617931E-2</v>
          </cell>
          <cell r="BJ9">
            <v>-5.9081850407617931E-2</v>
          </cell>
          <cell r="BK9">
            <v>3.8529743630729918E-2</v>
          </cell>
          <cell r="BL9">
            <v>3.8529743630729918E-2</v>
          </cell>
          <cell r="BM9">
            <v>3.8529743630729918E-2</v>
          </cell>
          <cell r="BN9">
            <v>3.8529743630729918E-2</v>
          </cell>
          <cell r="BO9">
            <v>3.8529743630729918E-2</v>
          </cell>
          <cell r="BP9">
            <v>3.8529743630729918E-2</v>
          </cell>
          <cell r="BQ9">
            <v>3.8529743630729918E-2</v>
          </cell>
          <cell r="BR9">
            <v>3.8529743630729918E-2</v>
          </cell>
          <cell r="BS9">
            <v>0.18051370827631152</v>
          </cell>
          <cell r="BT9">
            <v>0.18051370827631152</v>
          </cell>
          <cell r="BU9">
            <v>0</v>
          </cell>
          <cell r="BV9">
            <v>0</v>
          </cell>
        </row>
        <row r="10">
          <cell r="A10">
            <v>6</v>
          </cell>
          <cell r="B10" t="str">
            <v>DTC</v>
          </cell>
          <cell r="C10">
            <v>42809</v>
          </cell>
          <cell r="D10">
            <v>42749</v>
          </cell>
          <cell r="E10">
            <v>98.878279536051792</v>
          </cell>
          <cell r="F10">
            <v>-1.12E-2</v>
          </cell>
          <cell r="G10">
            <v>0</v>
          </cell>
          <cell r="H10">
            <v>0</v>
          </cell>
          <cell r="I10">
            <v>-1.12E-2</v>
          </cell>
          <cell r="J10">
            <v>3.6134444685274734E-2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4.4694479760497723E-2</v>
          </cell>
          <cell r="S10">
            <v>4.4694479760497743E-2</v>
          </cell>
          <cell r="T10">
            <v>5.369899379322176E-2</v>
          </cell>
          <cell r="U10">
            <v>0</v>
          </cell>
          <cell r="V10">
            <v>0</v>
          </cell>
          <cell r="W10">
            <v>0</v>
          </cell>
          <cell r="X10">
            <v>6.6671514104677934E-2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8.1896150292577671E-2</v>
          </cell>
          <cell r="AG10">
            <v>0</v>
          </cell>
          <cell r="AH10">
            <v>6.2651914625942509E-2</v>
          </cell>
          <cell r="AI10">
            <v>0</v>
          </cell>
          <cell r="AJ10">
            <v>0</v>
          </cell>
          <cell r="AK10">
            <v>0</v>
          </cell>
          <cell r="AL10">
            <v>0.10458521885740837</v>
          </cell>
          <cell r="AM10">
            <v>0.10200907789064399</v>
          </cell>
          <cell r="AN10">
            <v>0.11523366382912423</v>
          </cell>
          <cell r="AO10">
            <v>0.11523366382912423</v>
          </cell>
          <cell r="AP10">
            <v>0.11554328899934786</v>
          </cell>
          <cell r="AQ10">
            <v>0</v>
          </cell>
          <cell r="AR10">
            <v>1.8239401086178029E-3</v>
          </cell>
          <cell r="AS10">
            <v>2.0266001206864482E-3</v>
          </cell>
          <cell r="AT10">
            <v>0</v>
          </cell>
          <cell r="AU10">
            <v>0</v>
          </cell>
          <cell r="AV10">
            <v>2.2292601327550928E-3</v>
          </cell>
          <cell r="AW10">
            <v>4.2382376436964414E-3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-5.2575706916129228E-3</v>
          </cell>
          <cell r="BF10">
            <v>-5.2575706916129228E-3</v>
          </cell>
          <cell r="BG10">
            <v>-5.2575706916129228E-3</v>
          </cell>
          <cell r="BH10">
            <v>-5.2575706916129228E-3</v>
          </cell>
          <cell r="BI10">
            <v>-5.2575706916129228E-3</v>
          </cell>
          <cell r="BJ10">
            <v>-5.2575706916129228E-3</v>
          </cell>
          <cell r="BK10">
            <v>4.9353833645168432E-2</v>
          </cell>
          <cell r="BL10">
            <v>4.9353833645168432E-2</v>
          </cell>
          <cell r="BM10">
            <v>4.9353833645168432E-2</v>
          </cell>
          <cell r="BN10">
            <v>4.9353833645168432E-2</v>
          </cell>
          <cell r="BO10">
            <v>4.9353833645168432E-2</v>
          </cell>
          <cell r="BP10">
            <v>4.9353833645168432E-2</v>
          </cell>
          <cell r="BQ10">
            <v>4.9353833645168432E-2</v>
          </cell>
          <cell r="BR10">
            <v>4.9353833645168432E-2</v>
          </cell>
          <cell r="BS10">
            <v>0.28154921353755014</v>
          </cell>
          <cell r="BT10">
            <v>0.28154921353755014</v>
          </cell>
          <cell r="BU10">
            <v>0</v>
          </cell>
          <cell r="BV10">
            <v>0</v>
          </cell>
        </row>
        <row r="11">
          <cell r="A11">
            <v>7</v>
          </cell>
          <cell r="B11" t="str">
            <v>DTC</v>
          </cell>
          <cell r="C11">
            <v>42840</v>
          </cell>
          <cell r="D11">
            <v>42780</v>
          </cell>
          <cell r="E11">
            <v>97.854986600759304</v>
          </cell>
          <cell r="F11">
            <v>-2.1499999999999998E-2</v>
          </cell>
          <cell r="G11">
            <v>0</v>
          </cell>
          <cell r="H11">
            <v>0</v>
          </cell>
          <cell r="I11">
            <v>-2.1499999999999998E-2</v>
          </cell>
          <cell r="J11">
            <v>4.7804452036241916E-2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6.0329810322011297E-2</v>
          </cell>
          <cell r="S11">
            <v>6.0329810322011325E-2</v>
          </cell>
          <cell r="T11">
            <v>7.7510259433814704E-2</v>
          </cell>
          <cell r="U11">
            <v>0</v>
          </cell>
          <cell r="V11">
            <v>0</v>
          </cell>
          <cell r="W11">
            <v>0</v>
          </cell>
          <cell r="X11">
            <v>9.2343802917380369E-2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0.1034887674193567</v>
          </cell>
          <cell r="AG11">
            <v>0</v>
          </cell>
          <cell r="AH11">
            <v>7.4783186412839334E-2</v>
          </cell>
          <cell r="AI11">
            <v>0</v>
          </cell>
          <cell r="AJ11">
            <v>0</v>
          </cell>
          <cell r="AK11">
            <v>0</v>
          </cell>
          <cell r="AL11">
            <v>0.1210161819822706</v>
          </cell>
          <cell r="AM11">
            <v>0.11925477460986582</v>
          </cell>
          <cell r="AN11">
            <v>0.14192712992733816</v>
          </cell>
          <cell r="AO11">
            <v>0.14192712992733816</v>
          </cell>
          <cell r="AP11">
            <v>0.14907928811348845</v>
          </cell>
          <cell r="AQ11">
            <v>0</v>
          </cell>
          <cell r="AR11">
            <v>1.8239401086178029E-3</v>
          </cell>
          <cell r="AS11">
            <v>2.0266001206864482E-3</v>
          </cell>
          <cell r="AT11">
            <v>0</v>
          </cell>
          <cell r="AU11">
            <v>0</v>
          </cell>
          <cell r="AV11">
            <v>2.2292601327550928E-3</v>
          </cell>
          <cell r="AW11">
            <v>4.2382376436964414E-3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-5.2575706916129228E-3</v>
          </cell>
          <cell r="BF11">
            <v>-5.2575706916129228E-3</v>
          </cell>
          <cell r="BG11">
            <v>-5.2575706916129228E-3</v>
          </cell>
          <cell r="BH11">
            <v>-5.2575706916129228E-3</v>
          </cell>
          <cell r="BI11">
            <v>-5.2575706916129228E-3</v>
          </cell>
          <cell r="BJ11">
            <v>-5.2575706916129228E-3</v>
          </cell>
          <cell r="BK11">
            <v>7.5349428792434781E-2</v>
          </cell>
          <cell r="BL11">
            <v>7.5349428792434781E-2</v>
          </cell>
          <cell r="BM11">
            <v>7.5349428792434781E-2</v>
          </cell>
          <cell r="BN11">
            <v>7.5349428792434781E-2</v>
          </cell>
          <cell r="BO11">
            <v>7.5349428792434781E-2</v>
          </cell>
          <cell r="BP11">
            <v>7.5349428792434781E-2</v>
          </cell>
          <cell r="BQ11">
            <v>7.5349428792434781E-2</v>
          </cell>
          <cell r="BR11">
            <v>7.5349428792434781E-2</v>
          </cell>
          <cell r="BS11">
            <v>0.3203517491827953</v>
          </cell>
          <cell r="BT11">
            <v>0.3203517491827953</v>
          </cell>
          <cell r="BU11">
            <v>0</v>
          </cell>
          <cell r="BV11">
            <v>0</v>
          </cell>
        </row>
        <row r="12">
          <cell r="A12">
            <v>8</v>
          </cell>
          <cell r="B12" t="str">
            <v>DTC</v>
          </cell>
          <cell r="C12">
            <v>42870</v>
          </cell>
          <cell r="D12">
            <v>42810</v>
          </cell>
          <cell r="E12">
            <v>98.385542875748342</v>
          </cell>
          <cell r="F12">
            <v>-1.61E-2</v>
          </cell>
          <cell r="G12">
            <v>0</v>
          </cell>
          <cell r="H12">
            <v>0</v>
          </cell>
          <cell r="I12">
            <v>-1.61E-2</v>
          </cell>
          <cell r="J12">
            <v>5.2354179597596785E-2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5.2898820078520488E-2</v>
          </cell>
          <cell r="S12">
            <v>5.289882007852055E-2</v>
          </cell>
          <cell r="T12">
            <v>8.6261925228168279E-2</v>
          </cell>
          <cell r="U12">
            <v>0</v>
          </cell>
          <cell r="V12">
            <v>0</v>
          </cell>
          <cell r="W12">
            <v>0</v>
          </cell>
          <cell r="X12">
            <v>0.10164394205949716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0.11194345185268882</v>
          </cell>
          <cell r="AG12">
            <v>0</v>
          </cell>
          <cell r="AH12">
            <v>8.0831238587815962E-2</v>
          </cell>
          <cell r="AI12">
            <v>0</v>
          </cell>
          <cell r="AJ12">
            <v>0</v>
          </cell>
          <cell r="AK12">
            <v>0</v>
          </cell>
          <cell r="AL12">
            <v>0.10593758174340454</v>
          </cell>
          <cell r="AM12">
            <v>0.10540968022084091</v>
          </cell>
          <cell r="AN12">
            <v>0.13070075777963475</v>
          </cell>
          <cell r="AO12">
            <v>0.13070075777963475</v>
          </cell>
          <cell r="AP12">
            <v>0.14226243832818619</v>
          </cell>
          <cell r="AQ12">
            <v>0</v>
          </cell>
          <cell r="AR12">
            <v>1.9061422746827958E-3</v>
          </cell>
          <cell r="AS12">
            <v>2.1179358607586619E-3</v>
          </cell>
          <cell r="AT12">
            <v>0</v>
          </cell>
          <cell r="AU12">
            <v>0</v>
          </cell>
          <cell r="AV12">
            <v>2.3297294468345281E-3</v>
          </cell>
          <cell r="AW12">
            <v>4.4292484740213753E-3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-4.860458778255472E-3</v>
          </cell>
          <cell r="BF12">
            <v>-4.860458778255472E-3</v>
          </cell>
          <cell r="BG12">
            <v>-4.860458778255472E-3</v>
          </cell>
          <cell r="BH12">
            <v>-4.860458778255472E-3</v>
          </cell>
          <cell r="BI12">
            <v>-4.860458778255472E-3</v>
          </cell>
          <cell r="BJ12">
            <v>-4.860458778255472E-3</v>
          </cell>
          <cell r="BK12">
            <v>1.137310759058674E-2</v>
          </cell>
          <cell r="BL12">
            <v>1.137310759058674E-2</v>
          </cell>
          <cell r="BM12">
            <v>1.137310759058674E-2</v>
          </cell>
          <cell r="BN12">
            <v>1.137310759058674E-2</v>
          </cell>
          <cell r="BO12">
            <v>1.137310759058674E-2</v>
          </cell>
          <cell r="BP12">
            <v>1.137310759058674E-2</v>
          </cell>
          <cell r="BQ12">
            <v>1.137310759058674E-2</v>
          </cell>
          <cell r="BR12">
            <v>1.137310759058674E-2</v>
          </cell>
          <cell r="BS12">
            <v>0.32845702914730179</v>
          </cell>
          <cell r="BT12">
            <v>0.32845702914730179</v>
          </cell>
          <cell r="BU12">
            <v>0</v>
          </cell>
          <cell r="BV12">
            <v>0</v>
          </cell>
        </row>
        <row r="13">
          <cell r="A13">
            <v>9</v>
          </cell>
          <cell r="B13" t="str">
            <v>DTC</v>
          </cell>
          <cell r="C13">
            <v>42901</v>
          </cell>
          <cell r="D13">
            <v>42841</v>
          </cell>
          <cell r="E13">
            <v>99.062339886002746</v>
          </cell>
          <cell r="F13">
            <v>-9.4000000000000004E-3</v>
          </cell>
          <cell r="G13">
            <v>0</v>
          </cell>
          <cell r="H13">
            <v>0</v>
          </cell>
          <cell r="I13">
            <v>-9.4000000000000004E-3</v>
          </cell>
          <cell r="J13">
            <v>5.7763754658871846E-2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4.7452589119920299E-2</v>
          </cell>
          <cell r="S13">
            <v>4.7452589119920285E-2</v>
          </cell>
          <cell r="T13">
            <v>8.4741206020712667E-2</v>
          </cell>
          <cell r="U13">
            <v>0</v>
          </cell>
          <cell r="V13">
            <v>0</v>
          </cell>
          <cell r="W13">
            <v>0</v>
          </cell>
          <cell r="X13">
            <v>0.10025698594233283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0.11083692621135954</v>
          </cell>
          <cell r="AG13">
            <v>0</v>
          </cell>
          <cell r="AH13">
            <v>7.9658334279798473E-2</v>
          </cell>
          <cell r="AI13">
            <v>0</v>
          </cell>
          <cell r="AJ13">
            <v>0</v>
          </cell>
          <cell r="AK13">
            <v>0</v>
          </cell>
          <cell r="AL13">
            <v>8.3484931298266937E-2</v>
          </cell>
          <cell r="AM13">
            <v>8.3932824197717179E-2</v>
          </cell>
          <cell r="AN13">
            <v>0.10946721009617429</v>
          </cell>
          <cell r="AO13">
            <v>0.10946721009617429</v>
          </cell>
          <cell r="AP13">
            <v>0.12358618674409741</v>
          </cell>
          <cell r="AQ13">
            <v>0</v>
          </cell>
          <cell r="AR13">
            <v>2.7098943754951315E-3</v>
          </cell>
          <cell r="AS13">
            <v>3.0109937505501463E-3</v>
          </cell>
          <cell r="AT13">
            <v>0</v>
          </cell>
          <cell r="AU13">
            <v>0</v>
          </cell>
          <cell r="AV13">
            <v>3.3120931256051607E-3</v>
          </cell>
          <cell r="AW13">
            <v>6.2969043218026963E-3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2.1090877482724091E-2</v>
          </cell>
          <cell r="BF13">
            <v>2.1090877482724091E-2</v>
          </cell>
          <cell r="BG13">
            <v>2.1090877482724091E-2</v>
          </cell>
          <cell r="BH13">
            <v>2.1090877482724091E-2</v>
          </cell>
          <cell r="BI13">
            <v>2.1090877482724091E-2</v>
          </cell>
          <cell r="BJ13">
            <v>2.1090877482724091E-2</v>
          </cell>
          <cell r="BK13">
            <v>7.8160405092360108E-3</v>
          </cell>
          <cell r="BL13">
            <v>7.8160405092360108E-3</v>
          </cell>
          <cell r="BM13">
            <v>7.8160405092360108E-3</v>
          </cell>
          <cell r="BN13">
            <v>7.8160405092360108E-3</v>
          </cell>
          <cell r="BO13">
            <v>7.8160405092360108E-3</v>
          </cell>
          <cell r="BP13">
            <v>7.8160405092360108E-3</v>
          </cell>
          <cell r="BQ13">
            <v>7.8160405092360108E-3</v>
          </cell>
          <cell r="BR13">
            <v>7.8160405092360108E-3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</row>
        <row r="14">
          <cell r="A14">
            <v>10</v>
          </cell>
          <cell r="B14" t="str">
            <v>DTC</v>
          </cell>
          <cell r="C14">
            <v>42931</v>
          </cell>
          <cell r="D14">
            <v>42871</v>
          </cell>
          <cell r="E14">
            <v>101.24945205768587</v>
          </cell>
          <cell r="F14">
            <v>1.2500000000000001E-2</v>
          </cell>
          <cell r="G14">
            <v>0</v>
          </cell>
          <cell r="H14">
            <v>0</v>
          </cell>
          <cell r="I14">
            <v>1.2500000000000001E-2</v>
          </cell>
          <cell r="J14">
            <v>5.3197184161757595E-2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4.3341053721561912E-2</v>
          </cell>
          <cell r="S14">
            <v>4.3341053721561905E-2</v>
          </cell>
          <cell r="T14">
            <v>7.5495620540091068E-2</v>
          </cell>
          <cell r="U14">
            <v>0</v>
          </cell>
          <cell r="V14">
            <v>0</v>
          </cell>
          <cell r="W14">
            <v>0</v>
          </cell>
          <cell r="X14">
            <v>8.9115478506395798E-2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9.6718329527665917E-2</v>
          </cell>
          <cell r="AG14">
            <v>0</v>
          </cell>
          <cell r="AH14">
            <v>6.7547799687229709E-2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2.7920965415600776E-3</v>
          </cell>
          <cell r="AS14">
            <v>3.1023294906223089E-3</v>
          </cell>
          <cell r="AT14">
            <v>0</v>
          </cell>
          <cell r="AU14">
            <v>0</v>
          </cell>
          <cell r="AV14">
            <v>3.4125624396845397E-3</v>
          </cell>
          <cell r="AW14">
            <v>6.4879151521275236E-3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2.1412366813613911E-2</v>
          </cell>
          <cell r="BF14">
            <v>2.1412366813613911E-2</v>
          </cell>
          <cell r="BG14">
            <v>2.1412366813613911E-2</v>
          </cell>
          <cell r="BH14">
            <v>2.1412366813613914E-2</v>
          </cell>
          <cell r="BI14">
            <v>2.1412366813613914E-2</v>
          </cell>
          <cell r="BJ14">
            <v>2.1412366813613914E-2</v>
          </cell>
          <cell r="BK14">
            <v>-4.6695121519001459E-3</v>
          </cell>
          <cell r="BL14">
            <v>-4.6695121519001459E-3</v>
          </cell>
          <cell r="BM14">
            <v>-4.6695121519001459E-3</v>
          </cell>
          <cell r="BN14">
            <v>-4.6695121519001459E-3</v>
          </cell>
          <cell r="BO14">
            <v>-4.6695121519001459E-3</v>
          </cell>
          <cell r="BP14">
            <v>-4.6695121519001459E-3</v>
          </cell>
          <cell r="BQ14">
            <v>-4.6695121519001459E-3</v>
          </cell>
          <cell r="BR14">
            <v>-4.6695121519001459E-3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</row>
        <row r="15">
          <cell r="A15">
            <v>11</v>
          </cell>
          <cell r="B15" t="str">
            <v>DTC</v>
          </cell>
          <cell r="C15">
            <v>42962</v>
          </cell>
          <cell r="D15">
            <v>42902</v>
          </cell>
          <cell r="E15">
            <v>100.25650212034542</v>
          </cell>
          <cell r="F15">
            <v>2.5999999999999999E-3</v>
          </cell>
          <cell r="G15">
            <v>0</v>
          </cell>
          <cell r="H15">
            <v>0</v>
          </cell>
          <cell r="I15">
            <v>2.5999999999999999E-3</v>
          </cell>
          <cell r="J15">
            <v>5.0977989427700647E-2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5.1413956625472594E-2</v>
          </cell>
          <cell r="S15">
            <v>5.1413956625472539E-2</v>
          </cell>
          <cell r="T15">
            <v>7.3048393650229179E-2</v>
          </cell>
          <cell r="U15">
            <v>0</v>
          </cell>
          <cell r="V15">
            <v>0</v>
          </cell>
          <cell r="W15">
            <v>0</v>
          </cell>
          <cell r="X15">
            <v>8.51653387342379E-2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8.9617376075867755E-2</v>
          </cell>
          <cell r="AG15">
            <v>0</v>
          </cell>
          <cell r="AH15">
            <v>6.119265251919865E-2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1.3492529392306375E-2</v>
          </cell>
          <cell r="AS15">
            <v>1.4991699324784861E-2</v>
          </cell>
          <cell r="AT15">
            <v>0</v>
          </cell>
          <cell r="AU15">
            <v>0</v>
          </cell>
          <cell r="AV15">
            <v>1.6490869257263348E-2</v>
          </cell>
          <cell r="AW15">
            <v>3.1352205979223995E-2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6.6949951933735541E-2</v>
          </cell>
          <cell r="BF15">
            <v>6.6949951933735541E-2</v>
          </cell>
          <cell r="BG15">
            <v>6.6949951933735541E-2</v>
          </cell>
          <cell r="BH15">
            <v>6.6949951933735541E-2</v>
          </cell>
          <cell r="BI15">
            <v>6.6949951933735541E-2</v>
          </cell>
          <cell r="BJ15">
            <v>6.6949951933735541E-2</v>
          </cell>
          <cell r="BK15">
            <v>-9.8024145689503683E-3</v>
          </cell>
          <cell r="BL15">
            <v>-9.8024145689503683E-3</v>
          </cell>
          <cell r="BM15">
            <v>-9.8024145689503683E-3</v>
          </cell>
          <cell r="BN15">
            <v>-9.8024145689503683E-3</v>
          </cell>
          <cell r="BO15">
            <v>-9.8024145689503683E-3</v>
          </cell>
          <cell r="BP15">
            <v>-9.8024145689503683E-3</v>
          </cell>
          <cell r="BQ15">
            <v>-9.8024145689503683E-3</v>
          </cell>
          <cell r="BR15">
            <v>-9.8024145689503683E-3</v>
          </cell>
          <cell r="BS15">
            <v>0</v>
          </cell>
          <cell r="BT15">
            <v>0.28154921353755014</v>
          </cell>
          <cell r="BU15">
            <v>0</v>
          </cell>
          <cell r="BV15">
            <v>0</v>
          </cell>
        </row>
        <row r="16">
          <cell r="A16">
            <v>12</v>
          </cell>
          <cell r="B16" t="str">
            <v>DTC</v>
          </cell>
          <cell r="C16">
            <v>42993</v>
          </cell>
          <cell r="D16">
            <v>42933</v>
          </cell>
          <cell r="E16">
            <v>97.542194606584701</v>
          </cell>
          <cell r="F16">
            <v>0</v>
          </cell>
          <cell r="G16">
            <v>2.5999999999999999E-3</v>
          </cell>
          <cell r="H16">
            <v>-2.46E-2</v>
          </cell>
          <cell r="I16">
            <v>-2.1999999999999999E-2</v>
          </cell>
          <cell r="J16">
            <v>5.4673030027540474E-2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6.6514655721923388E-2</v>
          </cell>
          <cell r="S16">
            <v>6.651465572192336E-2</v>
          </cell>
          <cell r="T16">
            <v>7.3081342821511006E-2</v>
          </cell>
          <cell r="U16">
            <v>0</v>
          </cell>
          <cell r="V16">
            <v>0</v>
          </cell>
          <cell r="W16">
            <v>0</v>
          </cell>
          <cell r="X16">
            <v>8.5538845658387944E-2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9.0704852544815973E-2</v>
          </cell>
          <cell r="AG16">
            <v>0</v>
          </cell>
          <cell r="AH16">
            <v>6.2111130428705023E-2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1.5013152052575817E-2</v>
          </cell>
          <cell r="AS16">
            <v>1.668128005841758E-2</v>
          </cell>
          <cell r="AT16">
            <v>0</v>
          </cell>
          <cell r="AU16">
            <v>0</v>
          </cell>
          <cell r="AV16">
            <v>1.8349408064259335E-2</v>
          </cell>
          <cell r="AW16">
            <v>3.4885633513473284E-2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7.110335886459751E-2</v>
          </cell>
          <cell r="BF16">
            <v>7.110335886459751E-2</v>
          </cell>
          <cell r="BG16">
            <v>7.110335886459751E-2</v>
          </cell>
          <cell r="BH16">
            <v>7.110335886459751E-2</v>
          </cell>
          <cell r="BI16">
            <v>7.110335886459751E-2</v>
          </cell>
          <cell r="BJ16">
            <v>7.110335886459751E-2</v>
          </cell>
          <cell r="BK16">
            <v>-4.3752395095448815E-3</v>
          </cell>
          <cell r="BL16">
            <v>-4.3752395095448815E-3</v>
          </cell>
          <cell r="BM16">
            <v>-4.3752395095448815E-3</v>
          </cell>
          <cell r="BN16">
            <v>-4.3752395095448815E-3</v>
          </cell>
          <cell r="BO16">
            <v>-4.3752395095448815E-3</v>
          </cell>
          <cell r="BP16">
            <v>-4.3752395095448815E-3</v>
          </cell>
          <cell r="BQ16">
            <v>-4.3752395095448815E-3</v>
          </cell>
          <cell r="BR16">
            <v>-4.3752395095448815E-3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</row>
        <row r="17">
          <cell r="A17">
            <v>13</v>
          </cell>
          <cell r="B17" t="str">
            <v>DTC</v>
          </cell>
          <cell r="C17">
            <v>43023</v>
          </cell>
          <cell r="D17">
            <v>42963</v>
          </cell>
          <cell r="E17">
            <v>95.777729236287925</v>
          </cell>
          <cell r="F17">
            <v>0</v>
          </cell>
          <cell r="G17">
            <v>2.5999999999999999E-3</v>
          </cell>
          <cell r="H17">
            <v>-4.2200000000000001E-2</v>
          </cell>
          <cell r="I17">
            <v>-3.9600000000000003E-2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8.1414749769296191E-2</v>
          </cell>
          <cell r="U17">
            <v>0</v>
          </cell>
          <cell r="V17">
            <v>0</v>
          </cell>
          <cell r="W17">
            <v>0</v>
          </cell>
          <cell r="X17">
            <v>9.8440954017674109E-2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0.11318511215632812</v>
          </cell>
          <cell r="AG17">
            <v>0</v>
          </cell>
          <cell r="AH17">
            <v>8.2324215234883549E-2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2.2035409776367754E-2</v>
          </cell>
          <cell r="AS17">
            <v>2.4483788640408614E-2</v>
          </cell>
          <cell r="AT17">
            <v>0</v>
          </cell>
          <cell r="AU17">
            <v>0</v>
          </cell>
          <cell r="AV17">
            <v>2.6932167504449475E-2</v>
          </cell>
          <cell r="AW17">
            <v>5.1203053634941494E-2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0.10455374784282334</v>
          </cell>
          <cell r="BF17">
            <v>0.10455374784282334</v>
          </cell>
          <cell r="BG17">
            <v>0.10455374784282334</v>
          </cell>
          <cell r="BH17">
            <v>0.10455374784282333</v>
          </cell>
          <cell r="BI17">
            <v>0.10455374784282333</v>
          </cell>
          <cell r="BJ17">
            <v>0.10455374784282333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</row>
        <row r="18">
          <cell r="A18">
            <v>14</v>
          </cell>
          <cell r="B18" t="str">
            <v>DTC</v>
          </cell>
          <cell r="C18">
            <v>43054</v>
          </cell>
          <cell r="D18">
            <v>42994</v>
          </cell>
          <cell r="E18">
            <v>97.526005020062669</v>
          </cell>
          <cell r="F18">
            <v>0</v>
          </cell>
          <cell r="G18">
            <v>2.5999999999999999E-3</v>
          </cell>
          <cell r="H18">
            <v>-2.47E-2</v>
          </cell>
          <cell r="I18">
            <v>-2.2100000000000002E-2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9.4081052798309153E-2</v>
          </cell>
          <cell r="U18">
            <v>0</v>
          </cell>
          <cell r="V18">
            <v>0</v>
          </cell>
          <cell r="W18">
            <v>0</v>
          </cell>
          <cell r="X18">
            <v>0.11557560394269924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0.13886868023829013</v>
          </cell>
          <cell r="AG18">
            <v>0</v>
          </cell>
          <cell r="AH18">
            <v>0.10365595093525309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0.3203517491827953</v>
          </cell>
          <cell r="BT18">
            <v>0</v>
          </cell>
          <cell r="BU18">
            <v>0</v>
          </cell>
          <cell r="BV18">
            <v>0</v>
          </cell>
        </row>
        <row r="19">
          <cell r="A19">
            <v>15</v>
          </cell>
          <cell r="B19" t="str">
            <v>DTC</v>
          </cell>
          <cell r="C19">
            <v>43084</v>
          </cell>
          <cell r="D19">
            <v>43024</v>
          </cell>
          <cell r="E19">
            <v>97.063596919363135</v>
          </cell>
          <cell r="F19">
            <v>0</v>
          </cell>
          <cell r="G19">
            <v>2.5999999999999999E-3</v>
          </cell>
          <cell r="H19">
            <v>-2.9399999999999999E-2</v>
          </cell>
          <cell r="I19">
            <v>-2.6799999999999997E-2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0.10089866357684227</v>
          </cell>
          <cell r="U19">
            <v>0</v>
          </cell>
          <cell r="V19">
            <v>0</v>
          </cell>
          <cell r="W19">
            <v>0</v>
          </cell>
          <cell r="X19">
            <v>0.12548590961917419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0.15408626132816283</v>
          </cell>
          <cell r="AG19">
            <v>0</v>
          </cell>
          <cell r="AH19">
            <v>0.11733881147290347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</row>
        <row r="20">
          <cell r="A20">
            <v>16</v>
          </cell>
          <cell r="B20" t="str">
            <v>DTC</v>
          </cell>
          <cell r="C20">
            <v>43115</v>
          </cell>
          <cell r="D20">
            <v>43055</v>
          </cell>
          <cell r="E20">
            <v>94.846935184571578</v>
          </cell>
          <cell r="F20">
            <v>0</v>
          </cell>
          <cell r="G20">
            <v>2.5999999999999999E-3</v>
          </cell>
          <cell r="H20">
            <v>-5.1499999999999997E-2</v>
          </cell>
          <cell r="I20">
            <v>-4.8899999999999999E-2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7.7861720080186048E-2</v>
          </cell>
          <cell r="U20">
            <v>0</v>
          </cell>
          <cell r="V20">
            <v>0</v>
          </cell>
          <cell r="W20">
            <v>0</v>
          </cell>
          <cell r="X20">
            <v>0.10085687784669464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0.11244488602057071</v>
          </cell>
          <cell r="AG20">
            <v>0</v>
          </cell>
          <cell r="AH20">
            <v>8.431406775391305E-2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</row>
        <row r="21">
          <cell r="A21">
            <v>17</v>
          </cell>
          <cell r="B21" t="str">
            <v>DTC</v>
          </cell>
          <cell r="C21">
            <v>43146</v>
          </cell>
          <cell r="D21">
            <v>43086</v>
          </cell>
          <cell r="E21">
            <v>94.624208959120409</v>
          </cell>
          <cell r="F21">
            <v>0</v>
          </cell>
          <cell r="G21">
            <v>2.5999999999999999E-3</v>
          </cell>
          <cell r="H21">
            <v>-5.3800000000000001E-2</v>
          </cell>
          <cell r="I21">
            <v>-5.1200000000000002E-2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7.7596729339642387E-2</v>
          </cell>
          <cell r="U21">
            <v>0</v>
          </cell>
          <cell r="V21">
            <v>0</v>
          </cell>
          <cell r="W21">
            <v>0</v>
          </cell>
          <cell r="X21">
            <v>9.797079021672446E-2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0.10257147614697608</v>
          </cell>
          <cell r="AG21">
            <v>0</v>
          </cell>
          <cell r="AH21">
            <v>7.3398752373293089E-2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</row>
        <row r="22">
          <cell r="A22">
            <v>18</v>
          </cell>
          <cell r="B22" t="str">
            <v>DTC</v>
          </cell>
          <cell r="C22">
            <v>43174</v>
          </cell>
          <cell r="D22">
            <v>43114</v>
          </cell>
          <cell r="E22">
            <v>92.847216877344835</v>
          </cell>
          <cell r="F22">
            <v>0</v>
          </cell>
          <cell r="G22">
            <v>2.5999999999999999E-3</v>
          </cell>
          <cell r="H22">
            <v>-7.1499999999999994E-2</v>
          </cell>
          <cell r="I22">
            <v>-6.8899999999999989E-2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0.13432257405135642</v>
          </cell>
          <cell r="AG22">
            <v>0</v>
          </cell>
          <cell r="AH22">
            <v>9.7775356447438705E-2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</row>
        <row r="23">
          <cell r="A23">
            <v>19</v>
          </cell>
          <cell r="B23" t="str">
            <v>DTC</v>
          </cell>
          <cell r="C23">
            <v>43205</v>
          </cell>
          <cell r="D23">
            <v>43145</v>
          </cell>
          <cell r="E23">
            <v>93.677948373255248</v>
          </cell>
          <cell r="F23">
            <v>0</v>
          </cell>
          <cell r="G23">
            <v>2.5999999999999999E-3</v>
          </cell>
          <cell r="H23">
            <v>-6.3200000000000006E-2</v>
          </cell>
          <cell r="I23">
            <v>-6.0600000000000008E-2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0.14666038799843825</v>
          </cell>
          <cell r="AG23">
            <v>0</v>
          </cell>
          <cell r="AH23">
            <v>0.10264764115779232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</row>
        <row r="24">
          <cell r="A24">
            <v>20</v>
          </cell>
          <cell r="B24" t="str">
            <v>DTC</v>
          </cell>
          <cell r="C24">
            <v>43235</v>
          </cell>
          <cell r="D24">
            <v>43175</v>
          </cell>
          <cell r="E24">
            <v>96.286635052429389</v>
          </cell>
          <cell r="F24">
            <v>0</v>
          </cell>
          <cell r="G24">
            <v>2.5999999999999999E-3</v>
          </cell>
          <cell r="H24">
            <v>-3.7100000000000001E-2</v>
          </cell>
          <cell r="I24">
            <v>-3.4500000000000003E-2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0.13520009623463655</v>
          </cell>
          <cell r="AG24">
            <v>0</v>
          </cell>
          <cell r="AH24">
            <v>9.0597516035498329E-2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</row>
        <row r="25">
          <cell r="A25">
            <v>21</v>
          </cell>
          <cell r="B25" t="str">
            <v>DTC</v>
          </cell>
          <cell r="C25">
            <v>43266</v>
          </cell>
          <cell r="D25">
            <v>43206</v>
          </cell>
          <cell r="E25">
            <v>95.322361631598937</v>
          </cell>
          <cell r="F25">
            <v>0</v>
          </cell>
          <cell r="G25">
            <v>2.5999999999999999E-3</v>
          </cell>
          <cell r="H25">
            <v>-4.6800000000000001E-2</v>
          </cell>
          <cell r="I25">
            <v>-4.4200000000000003E-2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</row>
        <row r="26">
          <cell r="A26">
            <v>22</v>
          </cell>
          <cell r="B26" t="str">
            <v>DTC</v>
          </cell>
          <cell r="C26">
            <v>43296</v>
          </cell>
          <cell r="D26">
            <v>43236</v>
          </cell>
          <cell r="E26">
            <v>95.181167789130527</v>
          </cell>
          <cell r="F26">
            <v>0</v>
          </cell>
          <cell r="G26">
            <v>2.5999999999999999E-3</v>
          </cell>
          <cell r="H26">
            <v>-4.82E-2</v>
          </cell>
          <cell r="I26">
            <v>-4.5600000000000002E-2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</row>
        <row r="27">
          <cell r="A27">
            <v>23</v>
          </cell>
          <cell r="B27" t="str">
            <v>DTC</v>
          </cell>
          <cell r="C27">
            <v>43327</v>
          </cell>
          <cell r="D27">
            <v>43267</v>
          </cell>
          <cell r="E27">
            <v>94.877866400158752</v>
          </cell>
          <cell r="F27">
            <v>0</v>
          </cell>
          <cell r="G27">
            <v>2.5999999999999999E-3</v>
          </cell>
          <cell r="H27">
            <v>-5.1200000000000002E-2</v>
          </cell>
          <cell r="I27">
            <v>-4.8600000000000004E-2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</row>
        <row r="28">
          <cell r="A28">
            <v>24</v>
          </cell>
          <cell r="B28" t="str">
            <v>DTC</v>
          </cell>
          <cell r="C28">
            <v>43358</v>
          </cell>
          <cell r="D28">
            <v>43298</v>
          </cell>
          <cell r="E28">
            <v>10</v>
          </cell>
          <cell r="F28">
            <v>0</v>
          </cell>
          <cell r="G28">
            <v>2.5999999999999999E-3</v>
          </cell>
          <cell r="H28">
            <v>-0.9</v>
          </cell>
          <cell r="I28">
            <v>-0.89739999999999998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</row>
        <row r="29">
          <cell r="A29">
            <v>25</v>
          </cell>
          <cell r="B29" t="str">
            <v>DTC</v>
          </cell>
          <cell r="C29">
            <v>43388</v>
          </cell>
          <cell r="D29">
            <v>43328</v>
          </cell>
          <cell r="E29">
            <v>10</v>
          </cell>
          <cell r="F29">
            <v>0</v>
          </cell>
          <cell r="G29">
            <v>2.5999999999999999E-3</v>
          </cell>
          <cell r="H29">
            <v>-0.9</v>
          </cell>
          <cell r="I29">
            <v>-0.89739999999999998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</row>
        <row r="30">
          <cell r="A30">
            <v>26</v>
          </cell>
          <cell r="B30" t="str">
            <v>DTC</v>
          </cell>
          <cell r="C30">
            <v>43419</v>
          </cell>
          <cell r="D30">
            <v>43359</v>
          </cell>
          <cell r="E30" t="e">
            <v>#DIV/0!</v>
          </cell>
          <cell r="F30">
            <v>0</v>
          </cell>
          <cell r="G30">
            <v>2.5999999999999999E-3</v>
          </cell>
          <cell r="H30" t="e">
            <v>#DIV/0!</v>
          </cell>
          <cell r="I30" t="e">
            <v>#DIV/0!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</row>
        <row r="31">
          <cell r="A31">
            <v>27</v>
          </cell>
          <cell r="B31" t="str">
            <v>DTC</v>
          </cell>
          <cell r="C31">
            <v>43449</v>
          </cell>
          <cell r="D31">
            <v>43389</v>
          </cell>
          <cell r="E31" t="e">
            <v>#DIV/0!</v>
          </cell>
          <cell r="F31">
            <v>0</v>
          </cell>
          <cell r="G31">
            <v>2.5999999999999999E-3</v>
          </cell>
          <cell r="H31" t="e">
            <v>#DIV/0!</v>
          </cell>
          <cell r="I31" t="e">
            <v>#DIV/0!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</row>
        <row r="32">
          <cell r="A32">
            <v>28</v>
          </cell>
          <cell r="B32" t="str">
            <v>DTC</v>
          </cell>
          <cell r="C32">
            <v>43480</v>
          </cell>
          <cell r="D32">
            <v>43420</v>
          </cell>
          <cell r="E32" t="e">
            <v>#DIV/0!</v>
          </cell>
          <cell r="F32">
            <v>0</v>
          </cell>
          <cell r="G32">
            <v>2.5999999999999999E-3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tivity No (A) (1)"/>
      <sheetName val="Activity No (A) (2) "/>
      <sheetName val="Activity No  (A) (3) "/>
      <sheetName val="Activity No. (A) (6) "/>
      <sheetName val="Activity No (A) ( 7) "/>
      <sheetName val="Activity No (A) (8)"/>
      <sheetName val="Activity No (A) (9) "/>
      <sheetName val="Activity N0 (A) (10)"/>
      <sheetName val="Activity (NO) (11)"/>
      <sheetName val="Activity No (A) ( 12)  "/>
      <sheetName val="Activity No.(A) ( 13)   "/>
      <sheetName val="Activity No  (A) (14)  "/>
      <sheetName val="Activity No (A) (15)"/>
      <sheetName val="Activity No (A) (16)   copy"/>
      <sheetName val="Activity No. (A) (17)"/>
      <sheetName val="Activity No (A) (18)"/>
      <sheetName val="Activity No. (A) (19)"/>
      <sheetName val="Activity No (A) (20)"/>
      <sheetName val="Activity No (B) (1 to 5) "/>
      <sheetName val="Activity No (B) (6) "/>
      <sheetName val="Activity No (B) (7) ( a &amp; b) "/>
      <sheetName val="Activity No (B) (7) (c) "/>
      <sheetName val="Activity No (B) (8) "/>
      <sheetName val="Activity No (B) (9)"/>
      <sheetName val="Activity No   (B) (10) (a)"/>
      <sheetName val="Activity No  (B)(10) (b) "/>
      <sheetName val="Activity No (B) (11)"/>
      <sheetName val="Activity No.(B) (12)"/>
      <sheetName val="Activity No (B) (13) "/>
      <sheetName val="Activity No (B) (14)"/>
      <sheetName val="Activity No (B) (15)"/>
      <sheetName val="Activity No (B) (16)"/>
      <sheetName val="Activity No.(B) (17)"/>
      <sheetName val="Activity No.(B) (1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Data base Feb 09"/>
      <sheetName val="C_D__INDEX"/>
      <sheetName val="CPA_Cost"/>
      <sheetName val="RSJ_COst"/>
      <sheetName val="Group_IX"/>
      <sheetName val="Group_X"/>
      <sheetName val="Group_XI"/>
      <sheetName val="Group_XII"/>
      <sheetName val="Group_XIII"/>
      <sheetName val="C__D__Index1"/>
      <sheetName val="Data_base"/>
      <sheetName val="Index_(Print)"/>
      <sheetName val="COST_DATA"/>
      <sheetName val="Non_CPA_Rates"/>
      <sheetName val="Line_formulas"/>
      <sheetName val="Data_base_(2)"/>
      <sheetName val="Comparision_of_CD_Nov_07_Feb_08"/>
      <sheetName val="Rate_Comparision_Dec_07_July_08"/>
      <sheetName val="Rate_Comparision_Feb_06_Jul_08"/>
      <sheetName val="Data_base_Feb_09"/>
      <sheetName val="C_D__INDEX1"/>
      <sheetName val="CPA_Cost1"/>
      <sheetName val="RSJ_COst1"/>
      <sheetName val="Group_IX1"/>
      <sheetName val="Group_X1"/>
      <sheetName val="Group_XI1"/>
      <sheetName val="Group_XII1"/>
      <sheetName val="Group_XIII1"/>
      <sheetName val="C__D__Index11"/>
      <sheetName val="Data_base1"/>
      <sheetName val="Index_(Print)1"/>
      <sheetName val="COST_DATA1"/>
      <sheetName val="Non_CPA_Rates1"/>
      <sheetName val="Line_formulas1"/>
      <sheetName val="Data_base_(2)1"/>
      <sheetName val="Comparision_of_CD_Nov_07_Feb_01"/>
      <sheetName val="Rate_Comparision_Dec_07_July_01"/>
      <sheetName val="Rate_Comparision_Feb_06_Jul_081"/>
      <sheetName val="Data_base_Feb_091"/>
      <sheetName val="C_D__INDEX2"/>
      <sheetName val="CPA_Cost2"/>
      <sheetName val="RSJ_COst2"/>
      <sheetName val="Group_IX2"/>
      <sheetName val="Group_X2"/>
      <sheetName val="Group_XI2"/>
      <sheetName val="Group_XII2"/>
      <sheetName val="Group_XIII2"/>
      <sheetName val="C__D__Index12"/>
      <sheetName val="Data_base2"/>
      <sheetName val="Index_(Print)2"/>
      <sheetName val="COST_DATA2"/>
      <sheetName val="Non_CPA_Rates2"/>
      <sheetName val="Line_formulas2"/>
      <sheetName val="Data_base_(2)2"/>
      <sheetName val="Comparision_of_CD_Nov_07_Feb_02"/>
      <sheetName val="Rate_Comparision_Dec_07_July_02"/>
      <sheetName val="Rate_Comparision_Feb_06_Jul_082"/>
      <sheetName val="Data_base_Feb_092"/>
      <sheetName val="C_D__INDEX3"/>
      <sheetName val="CPA_Cost3"/>
      <sheetName val="RSJ_COst3"/>
      <sheetName val="Group_IX3"/>
      <sheetName val="Group_X3"/>
      <sheetName val="Group_XI3"/>
      <sheetName val="Group_XII3"/>
      <sheetName val="Group_XIII3"/>
      <sheetName val="C__D__Index13"/>
      <sheetName val="Data_base3"/>
      <sheetName val="Index_(Print)3"/>
      <sheetName val="COST_DATA3"/>
      <sheetName val="Non_CPA_Rates3"/>
      <sheetName val="Line_formulas3"/>
      <sheetName val="Data_base_(2)3"/>
      <sheetName val="Comparision_of_CD_Nov_07_Feb_03"/>
      <sheetName val="Rate_Comparision_Dec_07_July_03"/>
      <sheetName val="Rate_Comparision_Feb_06_Jul_083"/>
      <sheetName val="Data_base_Feb_093"/>
      <sheetName val="C_D__INDEX4"/>
      <sheetName val="CPA_Cost4"/>
      <sheetName val="RSJ_COst4"/>
      <sheetName val="Group_IX4"/>
      <sheetName val="Group_X4"/>
      <sheetName val="Group_XI4"/>
      <sheetName val="Group_XII4"/>
      <sheetName val="Group_XIII4"/>
      <sheetName val="C__D__Index14"/>
      <sheetName val="Data_base4"/>
      <sheetName val="Index_(Print)4"/>
      <sheetName val="COST_DATA4"/>
      <sheetName val="Non_CPA_Rates4"/>
      <sheetName val="Line_formulas4"/>
      <sheetName val="Data_base_(2)4"/>
      <sheetName val="Comparision_of_CD_Nov_07_Feb_04"/>
      <sheetName val="Rate_Comparision_Dec_07_July_04"/>
      <sheetName val="Rate_Comparision_Feb_06_Jul_084"/>
      <sheetName val="Data_base_Feb_094"/>
      <sheetName val="Activity No (A) ( 12)  "/>
      <sheetName val="Vendor-Infra"/>
      <sheetName val="GTP_DRW_L"/>
      <sheetName val="dpc cost"/>
      <sheetName val="SUMMERY"/>
      <sheetName val="Testing"/>
      <sheetName val="Data base 12-13 back Jan 10"/>
    </sheetNames>
    <sheetDataSet>
      <sheetData sheetId="0">
        <row r="1">
          <cell r="B1" t="str">
            <v>NAME OF MATERIAL</v>
          </cell>
        </row>
      </sheetData>
      <sheetData sheetId="1">
        <row r="58">
          <cell r="F58">
            <v>12968569.363851115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B1" t="str">
            <v>NAME OF MATERIAL</v>
          </cell>
        </row>
        <row r="5">
          <cell r="B5" t="str">
            <v>33 kV Pin Insulators with G.I. Pins</v>
          </cell>
          <cell r="C5" t="str">
            <v>No</v>
          </cell>
          <cell r="D5">
            <v>333.82</v>
          </cell>
          <cell r="E5">
            <v>48.136843999999996</v>
          </cell>
          <cell r="F5">
            <v>381.95684399999999</v>
          </cell>
        </row>
        <row r="6">
          <cell r="B6" t="str">
            <v>22 kV Pin Insulators with G.I. Pins</v>
          </cell>
          <cell r="C6" t="str">
            <v>No</v>
          </cell>
          <cell r="D6">
            <v>277.33999999999997</v>
          </cell>
          <cell r="E6">
            <v>39.992427999999997</v>
          </cell>
          <cell r="F6">
            <v>317.33242799999999</v>
          </cell>
        </row>
        <row r="7">
          <cell r="B7" t="str">
            <v>11 kV Pin Insulators with G.I. Pins</v>
          </cell>
          <cell r="C7" t="str">
            <v>No</v>
          </cell>
          <cell r="D7">
            <v>72.36</v>
          </cell>
          <cell r="E7">
            <v>10.434312</v>
          </cell>
          <cell r="F7">
            <v>82.794312000000005</v>
          </cell>
        </row>
        <row r="8">
          <cell r="B8" t="str">
            <v>Antifog type Disc.Insulators 7000 Kg.for highly polluted area</v>
          </cell>
          <cell r="C8" t="str">
            <v>Nos</v>
          </cell>
          <cell r="D8">
            <v>493.46199999999999</v>
          </cell>
          <cell r="E8">
            <v>71.1572204</v>
          </cell>
          <cell r="F8">
            <v>564.61922040000002</v>
          </cell>
        </row>
        <row r="9">
          <cell r="B9" t="str">
            <v>Disc Insulator 11 KV 7000 KG.</v>
          </cell>
          <cell r="C9" t="str">
            <v>Nos</v>
          </cell>
          <cell r="D9">
            <v>227.11</v>
          </cell>
          <cell r="E9">
            <v>32.749262000000002</v>
          </cell>
          <cell r="F9">
            <v>259.859262</v>
          </cell>
        </row>
        <row r="10">
          <cell r="B10" t="str">
            <v>Disc Insulator 11 KV 4500 KG.</v>
          </cell>
          <cell r="C10" t="str">
            <v>Nos</v>
          </cell>
          <cell r="D10">
            <v>193</v>
          </cell>
          <cell r="E10">
            <v>27.8306</v>
          </cell>
          <cell r="F10">
            <v>220.8306</v>
          </cell>
        </row>
        <row r="11">
          <cell r="B11" t="str">
            <v>L.T.Shackle Insulator</v>
          </cell>
          <cell r="C11" t="str">
            <v>Nos</v>
          </cell>
          <cell r="D11" t="str">
            <v>-</v>
          </cell>
          <cell r="E11">
            <v>0</v>
          </cell>
          <cell r="F11">
            <v>6.6120000000000001</v>
          </cell>
        </row>
        <row r="12">
          <cell r="B12" t="str">
            <v>L.T.Shackle hardware</v>
          </cell>
          <cell r="C12" t="str">
            <v>Pair</v>
          </cell>
          <cell r="D12">
            <v>22.02</v>
          </cell>
          <cell r="E12">
            <v>3.175284</v>
          </cell>
          <cell r="F12">
            <v>25.195284000000001</v>
          </cell>
        </row>
        <row r="13">
          <cell r="B13" t="str">
            <v>Stay Insulators</v>
          </cell>
          <cell r="C13" t="str">
            <v>No</v>
          </cell>
          <cell r="D13" t="str">
            <v>-</v>
          </cell>
          <cell r="E13">
            <v>0</v>
          </cell>
          <cell r="F13">
            <v>4.63</v>
          </cell>
        </row>
        <row r="14">
          <cell r="B14" t="str">
            <v>H.T.Stay Set</v>
          </cell>
          <cell r="C14" t="str">
            <v>Set</v>
          </cell>
          <cell r="D14">
            <v>453.27</v>
          </cell>
          <cell r="E14">
            <v>65.361533999999992</v>
          </cell>
          <cell r="F14">
            <v>518.63153399999999</v>
          </cell>
        </row>
        <row r="15">
          <cell r="B15" t="str">
            <v>L.T. Stay sets</v>
          </cell>
          <cell r="C15" t="str">
            <v>Set</v>
          </cell>
          <cell r="D15">
            <v>427.96</v>
          </cell>
          <cell r="E15">
            <v>61.711831999999994</v>
          </cell>
          <cell r="F15">
            <v>489.67183199999999</v>
          </cell>
        </row>
        <row r="16">
          <cell r="B16" t="str">
            <v>Earthing Sets H.T</v>
          </cell>
          <cell r="C16" t="str">
            <v>Set</v>
          </cell>
          <cell r="D16">
            <v>207.29</v>
          </cell>
          <cell r="E16">
            <v>29.891217999999999</v>
          </cell>
          <cell r="F16">
            <v>237.181218</v>
          </cell>
        </row>
        <row r="17">
          <cell r="B17" t="str">
            <v>Earthing Sets L.T.</v>
          </cell>
          <cell r="C17" t="str">
            <v>Set</v>
          </cell>
          <cell r="D17">
            <v>100.44</v>
          </cell>
          <cell r="E17">
            <v>14.483447999999999</v>
          </cell>
          <cell r="F17">
            <v>114.92344799999999</v>
          </cell>
        </row>
        <row r="18">
          <cell r="B18" t="str">
            <v>W.P.Wire 10 mm2 T/C 1100 V Grade</v>
          </cell>
          <cell r="C18" t="str">
            <v>Coil</v>
          </cell>
          <cell r="D18">
            <v>1632.4485</v>
          </cell>
          <cell r="E18">
            <v>235.39907369999997</v>
          </cell>
          <cell r="F18">
            <v>1867.8475736999999</v>
          </cell>
        </row>
        <row r="19">
          <cell r="B19" t="str">
            <v>do-         4 mm2 T/C 1100 V Grade</v>
          </cell>
          <cell r="C19" t="str">
            <v>Coil</v>
          </cell>
          <cell r="D19">
            <v>786.15440000000001</v>
          </cell>
          <cell r="E19">
            <v>113.36346447999999</v>
          </cell>
          <cell r="F19">
            <v>899.51786447999996</v>
          </cell>
        </row>
        <row r="20">
          <cell r="B20" t="str">
            <v>do-       2.5 mm2 T/C 1100 V Grade</v>
          </cell>
          <cell r="C20" t="str">
            <v>Coil</v>
          </cell>
          <cell r="D20">
            <v>491.05279999999999</v>
          </cell>
          <cell r="E20">
            <v>70.809813759999997</v>
          </cell>
          <cell r="F20">
            <v>561.86261375999993</v>
          </cell>
        </row>
        <row r="21">
          <cell r="B21" t="str">
            <v>do-       1.5 mm2 T/C 1100 V Grade</v>
          </cell>
          <cell r="C21" t="str">
            <v>Coil</v>
          </cell>
          <cell r="D21">
            <v>412.97660000000002</v>
          </cell>
          <cell r="E21">
            <v>59.551225719999998</v>
          </cell>
          <cell r="F21">
            <v>472.52782572000001</v>
          </cell>
        </row>
        <row r="22">
          <cell r="B22" t="str">
            <v>L.T. PVC armoured cable 3 1/2 C 50 sq.mm.</v>
          </cell>
          <cell r="C22" t="str">
            <v>RMT</v>
          </cell>
          <cell r="D22">
            <v>149.31578200000001</v>
          </cell>
          <cell r="E22">
            <v>21.531335764400001</v>
          </cell>
          <cell r="F22">
            <v>170.84711776440002</v>
          </cell>
        </row>
        <row r="23">
          <cell r="B23" t="str">
            <v>L.T. PVC armoured cable 3 1/2 C 35 sq.mm.</v>
          </cell>
          <cell r="C23" t="str">
            <v>RMT</v>
          </cell>
          <cell r="D23">
            <v>111.76893</v>
          </cell>
          <cell r="E23">
            <v>16.117079705999998</v>
          </cell>
          <cell r="F23">
            <v>127.886009706</v>
          </cell>
        </row>
        <row r="24">
          <cell r="B24" t="str">
            <v>L.T.PVC Armoured cable 4core 16sq.mm.</v>
          </cell>
          <cell r="C24" t="str">
            <v>RMT</v>
          </cell>
          <cell r="D24">
            <v>77.141301999999996</v>
          </cell>
          <cell r="E24">
            <v>11.123775748399998</v>
          </cell>
          <cell r="F24">
            <v>88.265077748399989</v>
          </cell>
        </row>
        <row r="25">
          <cell r="B25" t="str">
            <v>L.T. PVC armoured cable 2/C 16 Sq.mm</v>
          </cell>
          <cell r="C25" t="str">
            <v>RMT</v>
          </cell>
          <cell r="D25">
            <v>49.473004000000003</v>
          </cell>
          <cell r="E25">
            <v>7.1340071768</v>
          </cell>
          <cell r="F25">
            <v>56.6070111768</v>
          </cell>
        </row>
        <row r="26">
          <cell r="B26" t="str">
            <v>L.T. XLPE cable 3.5 Core 300 mm2</v>
          </cell>
          <cell r="C26" t="str">
            <v>RMT</v>
          </cell>
          <cell r="D26">
            <v>604.79975200000001</v>
          </cell>
          <cell r="E26">
            <v>87.212124238399994</v>
          </cell>
          <cell r="F26">
            <v>692.01187623839996</v>
          </cell>
        </row>
        <row r="27">
          <cell r="B27" t="str">
            <v>L.T. XLPE cable 3.5 Core 240 mm2</v>
          </cell>
          <cell r="C27" t="str">
            <v>RMT</v>
          </cell>
          <cell r="D27">
            <v>491.979624</v>
          </cell>
          <cell r="E27">
            <v>70.943461780799993</v>
          </cell>
          <cell r="F27">
            <v>562.92308578079997</v>
          </cell>
        </row>
        <row r="28">
          <cell r="B28" t="str">
            <v>L.T. XLPE Armoured cable185 sq.mm.</v>
          </cell>
          <cell r="C28" t="str">
            <v>RMT</v>
          </cell>
          <cell r="D28">
            <v>389.73898400000002</v>
          </cell>
          <cell r="E28">
            <v>56.200361492799999</v>
          </cell>
          <cell r="F28">
            <v>445.93934549280004</v>
          </cell>
        </row>
        <row r="29">
          <cell r="B29" t="str">
            <v>L.T.XLPE Armoured cable120 sq.mm.</v>
          </cell>
          <cell r="C29" t="str">
            <v>RMT</v>
          </cell>
          <cell r="D29">
            <v>265.10682400000002</v>
          </cell>
          <cell r="E29">
            <v>38.228404020799999</v>
          </cell>
          <cell r="F29">
            <v>303.3352280208</v>
          </cell>
        </row>
        <row r="30">
          <cell r="B30" t="str">
            <v>L.T.XLPE Armoured cable70 sq.mm.</v>
          </cell>
          <cell r="C30" t="str">
            <v>RMT</v>
          </cell>
          <cell r="D30">
            <v>160.45592800000003</v>
          </cell>
          <cell r="E30">
            <v>23.137744817600002</v>
          </cell>
          <cell r="F30">
            <v>183.59367281760004</v>
          </cell>
        </row>
        <row r="31">
          <cell r="B31" t="str">
            <v>L.T.Aerial bunched cable(3x120)</v>
          </cell>
          <cell r="C31" t="str">
            <v>RMT</v>
          </cell>
          <cell r="D31">
            <v>229.22872799999999</v>
          </cell>
          <cell r="E31">
            <v>33.054782577599994</v>
          </cell>
          <cell r="F31">
            <v>262.2835105776</v>
          </cell>
        </row>
        <row r="32">
          <cell r="B32" t="str">
            <v>L.T.Aerial bunched cable(3x70)</v>
          </cell>
          <cell r="C32" t="str">
            <v>RMT</v>
          </cell>
          <cell r="D32">
            <v>146.90985599999999</v>
          </cell>
          <cell r="E32">
            <v>21.184401235199999</v>
          </cell>
          <cell r="F32">
            <v>168.09425723519999</v>
          </cell>
        </row>
        <row r="33">
          <cell r="B33" t="str">
            <v>L.T.Aerial bunched cable(3x50)</v>
          </cell>
          <cell r="C33" t="str">
            <v>RMT</v>
          </cell>
          <cell r="D33">
            <v>109.043792</v>
          </cell>
          <cell r="E33">
            <v>15.724114806399999</v>
          </cell>
          <cell r="F33">
            <v>124.76790680639999</v>
          </cell>
        </row>
        <row r="34">
          <cell r="B34" t="str">
            <v>XLPE Cable 33 KV, 3 C / 300 mm sq.</v>
          </cell>
          <cell r="C34" t="str">
            <v>RMT</v>
          </cell>
          <cell r="D34">
            <v>1759.33844</v>
          </cell>
          <cell r="E34">
            <v>253.69660304799999</v>
          </cell>
          <cell r="F34">
            <v>2013.035043048</v>
          </cell>
        </row>
        <row r="35">
          <cell r="B35" t="str">
            <v>XLPE Cable 22 KV, 3 C / 300 mm sq.</v>
          </cell>
          <cell r="C35" t="str">
            <v>RMT</v>
          </cell>
          <cell r="D35">
            <v>1367.33844</v>
          </cell>
          <cell r="E35">
            <v>197.17020304799999</v>
          </cell>
          <cell r="F35">
            <v>1564.5086430480001</v>
          </cell>
        </row>
        <row r="36">
          <cell r="B36" t="str">
            <v>XLPE Cable 22 KV, 3 C / 240 mm sq.</v>
          </cell>
          <cell r="C36" t="str">
            <v>RMT</v>
          </cell>
          <cell r="D36">
            <v>1266.438856</v>
          </cell>
          <cell r="E36">
            <v>182.62048303519998</v>
          </cell>
          <cell r="F36">
            <v>1449.0593390352001</v>
          </cell>
        </row>
        <row r="37">
          <cell r="B37" t="str">
            <v>XLPE Cable 22 KV, 3 C / 95 mm sq.</v>
          </cell>
          <cell r="C37" t="str">
            <v>RMT</v>
          </cell>
          <cell r="D37">
            <v>767.90962400000001</v>
          </cell>
          <cell r="E37">
            <v>110.7325677808</v>
          </cell>
          <cell r="F37">
            <v>878.64219178079998</v>
          </cell>
        </row>
        <row r="38">
          <cell r="B38" t="str">
            <v>XLPE Cable 11 kV 3C 400 sq.mm.</v>
          </cell>
          <cell r="C38" t="str">
            <v>RMT</v>
          </cell>
          <cell r="D38">
            <v>1409.9574560000001</v>
          </cell>
          <cell r="E38">
            <v>203.31586515520002</v>
          </cell>
          <cell r="F38">
            <v>1613.2733211552002</v>
          </cell>
        </row>
        <row r="39">
          <cell r="B39" t="str">
            <v>XLPE Cable 11 KV, 3 C / 300 mm sq.</v>
          </cell>
          <cell r="C39" t="str">
            <v>RMT</v>
          </cell>
          <cell r="D39">
            <v>1141.33844</v>
          </cell>
          <cell r="E39">
            <v>164.58100304799999</v>
          </cell>
          <cell r="F39">
            <v>1305.9194430479999</v>
          </cell>
        </row>
        <row r="40">
          <cell r="B40" t="str">
            <v>XLPE Cable 11 KV, 3 C / 240 mm sq.</v>
          </cell>
          <cell r="C40" t="str">
            <v>RMT</v>
          </cell>
          <cell r="D40">
            <v>957.43885599999999</v>
          </cell>
          <cell r="E40">
            <v>138.0626830352</v>
          </cell>
          <cell r="F40">
            <v>1095.5015390352</v>
          </cell>
        </row>
        <row r="41">
          <cell r="B41" t="str">
            <v>XLPE Cable 11 KV, 3 C / 185 mm sq.</v>
          </cell>
          <cell r="C41" t="str">
            <v>RMT</v>
          </cell>
          <cell r="D41">
            <v>829.68812000000003</v>
          </cell>
          <cell r="E41">
            <v>119.641026904</v>
          </cell>
          <cell r="F41">
            <v>949.32914690400003</v>
          </cell>
        </row>
        <row r="42">
          <cell r="B42" t="str">
            <v>XLPE Cable 11 KV, 3 C / 95 mm sq.</v>
          </cell>
          <cell r="C42" t="str">
            <v>RMT</v>
          </cell>
          <cell r="D42">
            <v>535.90962400000001</v>
          </cell>
          <cell r="E42">
            <v>77.278167780800004</v>
          </cell>
          <cell r="F42">
            <v>613.18779178080001</v>
          </cell>
        </row>
        <row r="43">
          <cell r="B43" t="str">
            <v>XLPE Cable 11 kV 3C 50 sq.mm.</v>
          </cell>
          <cell r="C43" t="str">
            <v>RMT</v>
          </cell>
          <cell r="D43">
            <v>417.45303999999999</v>
          </cell>
          <cell r="E43">
            <v>60.196728367999995</v>
          </cell>
          <cell r="F43">
            <v>477.64976836799997</v>
          </cell>
        </row>
        <row r="44">
          <cell r="B44" t="str">
            <v>XLPE Cable 11 kV 3C 35 sq.mm.</v>
          </cell>
          <cell r="C44" t="str">
            <v>RMT</v>
          </cell>
          <cell r="D44">
            <v>352.07028800000001</v>
          </cell>
          <cell r="E44">
            <v>50.768535529600001</v>
          </cell>
          <cell r="F44">
            <v>402.83882352960001</v>
          </cell>
        </row>
        <row r="45">
          <cell r="B45" t="str">
            <v>Armoured Copper control cable 7Cx2.5 sq.mm.</v>
          </cell>
          <cell r="C45" t="str">
            <v>RMT</v>
          </cell>
          <cell r="D45">
            <v>107.15008</v>
          </cell>
          <cell r="E45">
            <v>15.451041536</v>
          </cell>
          <cell r="F45">
            <v>122.60112153600001</v>
          </cell>
        </row>
        <row r="46">
          <cell r="B46" t="str">
            <v>Armoured Copper control cable 2Cx2.5 sq.mm.</v>
          </cell>
          <cell r="C46" t="str">
            <v>RMT</v>
          </cell>
          <cell r="D46">
            <v>52.089839999999995</v>
          </cell>
          <cell r="E46">
            <v>7.5113549279999994</v>
          </cell>
          <cell r="F46">
            <v>59.601194927999998</v>
          </cell>
        </row>
        <row r="47">
          <cell r="B47" t="str">
            <v>19 C X 2.5 sq mm  Copper Cable</v>
          </cell>
          <cell r="C47" t="str">
            <v>RMT</v>
          </cell>
          <cell r="D47">
            <v>255.63</v>
          </cell>
          <cell r="E47">
            <v>36.861846</v>
          </cell>
          <cell r="F47">
            <v>292.49184600000001</v>
          </cell>
        </row>
        <row r="48">
          <cell r="B48" t="str">
            <v>12 C X 2.5 sq mm  Copper Cable</v>
          </cell>
          <cell r="C48" t="str">
            <v>RMT</v>
          </cell>
          <cell r="D48">
            <v>142.38903999999999</v>
          </cell>
          <cell r="E48">
            <v>20.532499567999999</v>
          </cell>
          <cell r="F48">
            <v>162.92153956799999</v>
          </cell>
        </row>
        <row r="49">
          <cell r="B49" t="str">
            <v>Un-Armoured Copper control cable 7Cx2.5 sq.mm.</v>
          </cell>
          <cell r="C49" t="str">
            <v>RMT</v>
          </cell>
          <cell r="D49">
            <v>89.095079999999996</v>
          </cell>
          <cell r="E49">
            <v>12.847510536</v>
          </cell>
          <cell r="F49">
            <v>101.942590536</v>
          </cell>
        </row>
        <row r="50">
          <cell r="B50" t="str">
            <v>4 C X 2.5 sq mm  Copper Cable</v>
          </cell>
          <cell r="C50" t="str">
            <v>RMT</v>
          </cell>
          <cell r="D50">
            <v>58.332180000000001</v>
          </cell>
          <cell r="E50">
            <v>8.4115003559999995</v>
          </cell>
          <cell r="F50">
            <v>66.743680355999999</v>
          </cell>
        </row>
        <row r="51">
          <cell r="B51" t="str">
            <v>2 C X 2.5 sq mm  Copper Cable</v>
          </cell>
          <cell r="C51" t="str">
            <v>RMT</v>
          </cell>
          <cell r="D51">
            <v>34.844839999999998</v>
          </cell>
          <cell r="E51">
            <v>5.0246259279999999</v>
          </cell>
          <cell r="F51">
            <v>39.869465927999997</v>
          </cell>
        </row>
        <row r="52">
          <cell r="B52" t="str">
            <v>L.T. PVC armoured cable 2/C 50 Sq.mm</v>
          </cell>
          <cell r="C52" t="str">
            <v>KM</v>
          </cell>
          <cell r="D52">
            <v>86338.009000000005</v>
          </cell>
          <cell r="E52">
            <v>12449.940897800001</v>
          </cell>
          <cell r="F52">
            <v>98787.949897800005</v>
          </cell>
        </row>
        <row r="53">
          <cell r="B53" t="str">
            <v>R.S. service connection pipe 25 mm dia</v>
          </cell>
          <cell r="C53" t="str">
            <v>Mtr</v>
          </cell>
          <cell r="D53">
            <v>0</v>
          </cell>
          <cell r="E53">
            <v>0</v>
          </cell>
          <cell r="F53">
            <v>0</v>
          </cell>
        </row>
        <row r="54">
          <cell r="B54" t="str">
            <v>R.S. service connection pipe 20 mm dia</v>
          </cell>
          <cell r="C54" t="str">
            <v>Mtr.</v>
          </cell>
          <cell r="D54">
            <v>0</v>
          </cell>
          <cell r="E54">
            <v>0</v>
          </cell>
          <cell r="F54">
            <v>0</v>
          </cell>
        </row>
        <row r="55">
          <cell r="B55" t="str">
            <v>33 KV Pin Insulators{CD 840mm]</v>
          </cell>
          <cell r="C55" t="str">
            <v>No.</v>
          </cell>
          <cell r="D55">
            <v>355.21100000000001</v>
          </cell>
          <cell r="E55">
            <v>51.221426200000003</v>
          </cell>
          <cell r="F55">
            <v>406.43242620000001</v>
          </cell>
        </row>
        <row r="56">
          <cell r="B56" t="str">
            <v>33 KV Pin Insulators{CD 840mm]</v>
          </cell>
          <cell r="C56" t="str">
            <v>No.</v>
          </cell>
          <cell r="D56">
            <v>355.21100000000001</v>
          </cell>
          <cell r="E56">
            <v>51.221426000000001</v>
          </cell>
          <cell r="F56">
            <v>406.43242600000002</v>
          </cell>
        </row>
        <row r="57">
          <cell r="B57" t="str">
            <v>Material Description</v>
          </cell>
          <cell r="C57" t="str">
            <v>Unit</v>
          </cell>
          <cell r="D57" t="str">
            <v>Ex-works</v>
          </cell>
          <cell r="E57" t="str">
            <v>Excise</v>
          </cell>
          <cell r="F57" t="str">
            <v>Total Rate per unit As on Jul 08</v>
          </cell>
        </row>
        <row r="58">
          <cell r="B58" t="str">
            <v xml:space="preserve">S.P.Static Meter 5-30 A with LCD display with Box   </v>
          </cell>
          <cell r="C58" t="str">
            <v>No.</v>
          </cell>
          <cell r="D58">
            <v>632.46</v>
          </cell>
          <cell r="E58">
            <v>91.200732000000002</v>
          </cell>
          <cell r="F58">
            <v>723.66073200000005</v>
          </cell>
        </row>
        <row r="59">
          <cell r="B59" t="str">
            <v>S.P.Static Meter 5-30 A With LCD Display without Box</v>
          </cell>
          <cell r="C59" t="str">
            <v>No.</v>
          </cell>
          <cell r="D59">
            <v>537.64</v>
          </cell>
          <cell r="E59">
            <v>77.527687999999998</v>
          </cell>
          <cell r="F59">
            <v>615.167688</v>
          </cell>
        </row>
        <row r="60">
          <cell r="B60" t="str">
            <v>S.P.Static Meter 10-60 A with LCD Display with Box</v>
          </cell>
          <cell r="C60" t="str">
            <v>No.</v>
          </cell>
          <cell r="D60">
            <v>942.83</v>
          </cell>
          <cell r="E60">
            <v>0</v>
          </cell>
          <cell r="F60">
            <v>942.83</v>
          </cell>
        </row>
        <row r="61">
          <cell r="B61" t="str">
            <v xml:space="preserve">T.P.Meter 10-40 A Static type with KWH &amp; KVAMD </v>
          </cell>
          <cell r="C61" t="str">
            <v>No.</v>
          </cell>
          <cell r="D61">
            <v>2136.63</v>
          </cell>
          <cell r="E61">
            <v>0</v>
          </cell>
          <cell r="F61">
            <v>2136.63</v>
          </cell>
        </row>
        <row r="62">
          <cell r="B62" t="str">
            <v>C.T.Op Metering Unit of 50/5A rating with electronic type meter, cabinet etc.</v>
          </cell>
          <cell r="C62" t="str">
            <v>Set</v>
          </cell>
          <cell r="D62">
            <v>22610</v>
          </cell>
          <cell r="E62">
            <v>3260.3620000000001</v>
          </cell>
          <cell r="F62">
            <v>25870.362000000001</v>
          </cell>
        </row>
        <row r="63">
          <cell r="B63" t="str">
            <v>C.T.Op Metering Unit of 100/5A rating with electronic type meter, cabinet etc.</v>
          </cell>
          <cell r="C63" t="str">
            <v>Set</v>
          </cell>
          <cell r="D63">
            <v>22665.72</v>
          </cell>
          <cell r="E63">
            <v>3268.3968239999999</v>
          </cell>
          <cell r="F63">
            <v>25934.116824000001</v>
          </cell>
        </row>
        <row r="64">
          <cell r="B64" t="str">
            <v>C.T.Operated Electronic Meter 50/5A with Communication Port RS-232.</v>
          </cell>
          <cell r="C64" t="str">
            <v>No</v>
          </cell>
          <cell r="D64">
            <v>3822.22</v>
          </cell>
          <cell r="E64">
            <v>551.1641239999999</v>
          </cell>
          <cell r="F64">
            <v>4373.3841240000002</v>
          </cell>
        </row>
        <row r="65">
          <cell r="B65" t="str">
            <v>C.T.Operated Electronic Meter 100/5A with Communication Port RS-232.</v>
          </cell>
          <cell r="C65" t="str">
            <v>No.</v>
          </cell>
          <cell r="D65">
            <v>3690</v>
          </cell>
          <cell r="E65">
            <v>532.09799999999996</v>
          </cell>
          <cell r="F65">
            <v>4222.098</v>
          </cell>
        </row>
        <row r="66">
          <cell r="B66" t="str">
            <v>H.T.Static Three Vector T.O.D. Meter</v>
          </cell>
          <cell r="C66" t="str">
            <v>No</v>
          </cell>
          <cell r="D66">
            <v>3315</v>
          </cell>
          <cell r="E66">
            <v>478.02299999999997</v>
          </cell>
          <cell r="F66">
            <v>3793.0230000000001</v>
          </cell>
        </row>
        <row r="67">
          <cell r="B67" t="str">
            <v>L.T. C.T. Operated Meter Box [without CT &amp; Meter]</v>
          </cell>
          <cell r="C67" t="str">
            <v>No.</v>
          </cell>
          <cell r="D67">
            <v>1489.81</v>
          </cell>
          <cell r="E67">
            <v>214.83060199999997</v>
          </cell>
          <cell r="F67">
            <v>1704.6406019999999</v>
          </cell>
        </row>
        <row r="68">
          <cell r="B68" t="str">
            <v xml:space="preserve">L.T. Current Transformer. 500/5A  </v>
          </cell>
          <cell r="C68" t="str">
            <v>No.</v>
          </cell>
          <cell r="D68">
            <v>193</v>
          </cell>
          <cell r="E68">
            <v>0</v>
          </cell>
          <cell r="F68">
            <v>193</v>
          </cell>
        </row>
        <row r="69">
          <cell r="B69" t="str">
            <v xml:space="preserve">L.T. Current Transformer. 300/5A </v>
          </cell>
          <cell r="C69" t="str">
            <v>No.</v>
          </cell>
          <cell r="D69">
            <v>193</v>
          </cell>
          <cell r="E69">
            <v>0</v>
          </cell>
          <cell r="F69">
            <v>193</v>
          </cell>
        </row>
        <row r="70">
          <cell r="B70" t="str">
            <v xml:space="preserve">L.T. Current Transformer. 200/5A </v>
          </cell>
          <cell r="C70" t="str">
            <v>No.</v>
          </cell>
          <cell r="D70">
            <v>148</v>
          </cell>
          <cell r="E70">
            <v>21.3416</v>
          </cell>
          <cell r="F70">
            <v>169.3416</v>
          </cell>
        </row>
        <row r="71">
          <cell r="B71" t="str">
            <v>L.T.Dist.Boxes 25/63 KVA with MCCB</v>
          </cell>
          <cell r="C71" t="str">
            <v>No</v>
          </cell>
          <cell r="D71">
            <v>18289.55</v>
          </cell>
          <cell r="E71">
            <v>2637.35311</v>
          </cell>
          <cell r="F71">
            <v>20926.903109999999</v>
          </cell>
        </row>
        <row r="72">
          <cell r="B72" t="str">
            <v>L.T.Dist.Boxes 25/63 KVA with KITKAT</v>
          </cell>
          <cell r="C72" t="str">
            <v>No</v>
          </cell>
          <cell r="D72">
            <v>16406.75</v>
          </cell>
          <cell r="E72">
            <v>2365.8533499999999</v>
          </cell>
          <cell r="F72">
            <v>18772.603350000001</v>
          </cell>
        </row>
        <row r="73">
          <cell r="B73" t="str">
            <v>L.T.Dist.Boxes 100 KVA with MCCB</v>
          </cell>
          <cell r="C73" t="str">
            <v>No</v>
          </cell>
          <cell r="D73">
            <v>18281.349999999999</v>
          </cell>
          <cell r="E73">
            <v>2636.1706699999995</v>
          </cell>
          <cell r="F73">
            <v>20917.520669999998</v>
          </cell>
        </row>
        <row r="74">
          <cell r="B74" t="str">
            <v>L.T.Dist.Boxes 100 KVA with KITKAT</v>
          </cell>
          <cell r="C74" t="str">
            <v>No</v>
          </cell>
          <cell r="D74">
            <v>17159.34</v>
          </cell>
          <cell r="E74">
            <v>2474.3768279999999</v>
          </cell>
          <cell r="F74">
            <v>19633.716828000001</v>
          </cell>
        </row>
        <row r="75">
          <cell r="B75" t="str">
            <v>L.T.Dist.Boxes 200 KVA with MCCB</v>
          </cell>
          <cell r="C75" t="str">
            <v>No</v>
          </cell>
          <cell r="D75">
            <v>34325.300000000003</v>
          </cell>
          <cell r="E75">
            <v>4949.7082600000003</v>
          </cell>
          <cell r="F75">
            <v>39275.008260000002</v>
          </cell>
        </row>
        <row r="76">
          <cell r="B76" t="str">
            <v>Common Meter Reading Instru. for Static Meters.</v>
          </cell>
          <cell r="C76" t="str">
            <v>No</v>
          </cell>
          <cell r="D76">
            <v>25767.61</v>
          </cell>
          <cell r="E76">
            <v>3715.6893620000001</v>
          </cell>
          <cell r="F76">
            <v>29483.299362000002</v>
          </cell>
        </row>
        <row r="77">
          <cell r="B77" t="str">
            <v>Single Phase Distribution Box 15/25 KVA</v>
          </cell>
          <cell r="C77" t="str">
            <v>No</v>
          </cell>
          <cell r="D77">
            <v>2651.32</v>
          </cell>
          <cell r="E77">
            <v>382.32034400000003</v>
          </cell>
          <cell r="F77">
            <v>3033.6403440000004</v>
          </cell>
        </row>
        <row r="80">
          <cell r="B80" t="str">
            <v>Single Phase Distribution Box 15/25 KVA</v>
          </cell>
          <cell r="C80" t="str">
            <v>No</v>
          </cell>
          <cell r="D80">
            <v>2651.32</v>
          </cell>
          <cell r="E80">
            <v>382.32034399999998</v>
          </cell>
          <cell r="F80">
            <v>3033.6403439999999</v>
          </cell>
        </row>
        <row r="81">
          <cell r="B81" t="str">
            <v>Item</v>
          </cell>
          <cell r="C81" t="str">
            <v>Size</v>
          </cell>
          <cell r="D81">
            <v>0</v>
          </cell>
          <cell r="E81">
            <v>0</v>
          </cell>
          <cell r="F81" t="str">
            <v>Ex. Work Rate</v>
          </cell>
        </row>
        <row r="82">
          <cell r="B82" t="str">
            <v>Ant To Ant</v>
          </cell>
          <cell r="C82" t="str">
            <v>50 SQ. MM</v>
          </cell>
          <cell r="D82">
            <v>0</v>
          </cell>
          <cell r="E82">
            <v>0</v>
          </cell>
          <cell r="F82">
            <v>125</v>
          </cell>
        </row>
        <row r="83">
          <cell r="B83" t="str">
            <v>GNAT To GNAT</v>
          </cell>
          <cell r="C83" t="str">
            <v xml:space="preserve">25 SQ. MM </v>
          </cell>
          <cell r="D83">
            <v>0</v>
          </cell>
          <cell r="E83">
            <v>0</v>
          </cell>
          <cell r="F83">
            <v>125</v>
          </cell>
        </row>
        <row r="84">
          <cell r="B84" t="str">
            <v>WEASEL TO WEASEL</v>
          </cell>
          <cell r="C84" t="str">
            <v>0.03 SQ. INCH</v>
          </cell>
          <cell r="D84">
            <v>0</v>
          </cell>
          <cell r="E84">
            <v>0</v>
          </cell>
          <cell r="F84">
            <v>150</v>
          </cell>
        </row>
        <row r="85">
          <cell r="B85" t="str">
            <v>WEASEL To ANT/ GNAT</v>
          </cell>
          <cell r="C85" t="str">
            <v>0.03 SQ. INCH</v>
          </cell>
          <cell r="D85">
            <v>0</v>
          </cell>
          <cell r="E85">
            <v>0</v>
          </cell>
          <cell r="F85">
            <v>155</v>
          </cell>
        </row>
        <row r="86">
          <cell r="B86" t="str">
            <v>RABIT To RABIT</v>
          </cell>
          <cell r="C86" t="str">
            <v>0.05 SQ. Inch</v>
          </cell>
          <cell r="D86">
            <v>0</v>
          </cell>
          <cell r="E86">
            <v>0</v>
          </cell>
          <cell r="F86">
            <v>150</v>
          </cell>
        </row>
        <row r="87">
          <cell r="B87" t="str">
            <v>DOG TO DOG</v>
          </cell>
          <cell r="C87" t="str">
            <v>0.1SQ. INCH</v>
          </cell>
          <cell r="D87">
            <v>0</v>
          </cell>
          <cell r="E87">
            <v>0</v>
          </cell>
          <cell r="F87">
            <v>750</v>
          </cell>
        </row>
        <row r="88">
          <cell r="B88" t="str">
            <v>RACCON TO RACCON</v>
          </cell>
          <cell r="C88" t="str">
            <v>0.08 SQ. INCH</v>
          </cell>
          <cell r="D88">
            <v>0</v>
          </cell>
          <cell r="E88">
            <v>0</v>
          </cell>
          <cell r="F88">
            <v>550</v>
          </cell>
        </row>
        <row r="89">
          <cell r="B89" t="str">
            <v>PANTHER TO PANTHER</v>
          </cell>
          <cell r="C89" t="str">
            <v>0.2 SQ. INCH</v>
          </cell>
          <cell r="D89">
            <v>0</v>
          </cell>
          <cell r="E89">
            <v>0</v>
          </cell>
          <cell r="F89">
            <v>1000</v>
          </cell>
        </row>
        <row r="92">
          <cell r="F92">
            <v>1000</v>
          </cell>
        </row>
        <row r="93">
          <cell r="B93" t="str">
            <v>UPDATED RATES OF ITEMS FOR SUPPLIES IN OCT- 07</v>
          </cell>
        </row>
        <row r="94">
          <cell r="B94" t="str">
            <v>Item Code No.</v>
          </cell>
          <cell r="C94" t="str">
            <v>Material</v>
          </cell>
          <cell r="D94" t="str">
            <v>Ex-works</v>
          </cell>
          <cell r="E94" t="str">
            <v>Excise</v>
          </cell>
          <cell r="F94" t="str">
            <v>Total Rate per unit As on Jul 08</v>
          </cell>
        </row>
        <row r="95">
          <cell r="B95" t="str">
            <v>ACSR Panther</v>
          </cell>
          <cell r="C95" t="str">
            <v>Rmt</v>
          </cell>
          <cell r="D95">
            <v>112.63947</v>
          </cell>
          <cell r="E95">
            <v>16.242611574000001</v>
          </cell>
          <cell r="F95">
            <v>128.88208157400001</v>
          </cell>
        </row>
        <row r="96">
          <cell r="B96" t="str">
            <v>ACSR Dog</v>
          </cell>
          <cell r="C96" t="str">
            <v>Rmt</v>
          </cell>
          <cell r="D96">
            <v>52.050229999999999</v>
          </cell>
          <cell r="E96">
            <v>7.5056431659999996</v>
          </cell>
          <cell r="F96">
            <v>59.555873165999998</v>
          </cell>
        </row>
        <row r="97">
          <cell r="B97" t="str">
            <v>ACSR Weasel</v>
          </cell>
          <cell r="C97" t="str">
            <v>Rmt</v>
          </cell>
          <cell r="D97">
            <v>16.23949</v>
          </cell>
          <cell r="E97">
            <v>2.3417344579999999</v>
          </cell>
          <cell r="F97">
            <v>18.581224458000001</v>
          </cell>
        </row>
        <row r="98">
          <cell r="B98" t="str">
            <v>AAC Ant</v>
          </cell>
          <cell r="C98" t="str">
            <v>Rmt</v>
          </cell>
          <cell r="D98">
            <v>22.194179999999999</v>
          </cell>
          <cell r="E98">
            <v>3.2004007559999996</v>
          </cell>
          <cell r="F98">
            <v>25.394580756</v>
          </cell>
        </row>
        <row r="99">
          <cell r="B99" t="str">
            <v>AAC Gnat</v>
          </cell>
          <cell r="C99" t="str">
            <v>Rmt</v>
          </cell>
          <cell r="D99">
            <v>11.636620000000001</v>
          </cell>
          <cell r="E99">
            <v>1.678000604</v>
          </cell>
          <cell r="F99">
            <v>13.314620604</v>
          </cell>
        </row>
        <row r="100">
          <cell r="B100" t="str">
            <v>AAAC 34 mm2</v>
          </cell>
          <cell r="C100" t="str">
            <v>Rmt</v>
          </cell>
          <cell r="D100">
            <v>16.0503</v>
          </cell>
          <cell r="E100">
            <v>2.3144532600000001</v>
          </cell>
          <cell r="F100">
            <v>18.364753260000001</v>
          </cell>
        </row>
        <row r="101">
          <cell r="B101" t="str">
            <v>AAAC 55 mm2</v>
          </cell>
          <cell r="C101" t="str">
            <v>Rmt</v>
          </cell>
          <cell r="D101">
            <v>25.333539999999999</v>
          </cell>
          <cell r="E101">
            <v>3.6530964679999998</v>
          </cell>
          <cell r="F101">
            <v>28.986636468</v>
          </cell>
        </row>
        <row r="102">
          <cell r="B102" t="str">
            <v>AAAC 100 mm2</v>
          </cell>
          <cell r="C102" t="str">
            <v>Rmt</v>
          </cell>
          <cell r="D102">
            <v>46.132910000000003</v>
          </cell>
          <cell r="E102">
            <v>6.6523656220000005</v>
          </cell>
          <cell r="F102">
            <v>52.785275622</v>
          </cell>
        </row>
        <row r="103">
          <cell r="B103" t="str">
            <v>AAAC 232 mm2</v>
          </cell>
          <cell r="C103" t="str">
            <v>Rmt</v>
          </cell>
          <cell r="D103">
            <v>96.1845</v>
          </cell>
          <cell r="E103">
            <v>13.8698049</v>
          </cell>
          <cell r="F103">
            <v>110.05430490000001</v>
          </cell>
        </row>
        <row r="104">
          <cell r="B104" t="str">
            <v>11KV A.B. Switch</v>
          </cell>
          <cell r="C104" t="str">
            <v>Set</v>
          </cell>
          <cell r="D104">
            <v>8376.41</v>
          </cell>
          <cell r="E104">
            <v>1207.878322</v>
          </cell>
          <cell r="F104">
            <v>9584.2883220000003</v>
          </cell>
        </row>
        <row r="105">
          <cell r="B105" t="str">
            <v>22KV A.B.Switch</v>
          </cell>
          <cell r="C105" t="str">
            <v>Set</v>
          </cell>
          <cell r="D105">
            <v>13851.04</v>
          </cell>
          <cell r="E105">
            <v>0</v>
          </cell>
          <cell r="F105">
            <v>13851.04</v>
          </cell>
        </row>
        <row r="106">
          <cell r="B106" t="str">
            <v>11KV H.G.Fuses</v>
          </cell>
          <cell r="C106" t="str">
            <v>Set</v>
          </cell>
          <cell r="D106">
            <v>1953.09</v>
          </cell>
          <cell r="E106">
            <v>0</v>
          </cell>
          <cell r="F106">
            <v>1953.09</v>
          </cell>
        </row>
        <row r="107">
          <cell r="B107" t="str">
            <v>22KV H.G.Fuses</v>
          </cell>
          <cell r="C107" t="str">
            <v>Set</v>
          </cell>
          <cell r="D107">
            <v>4882.8</v>
          </cell>
          <cell r="E107">
            <v>0</v>
          </cell>
          <cell r="F107">
            <v>4882.8</v>
          </cell>
        </row>
        <row r="108">
          <cell r="B108" t="str">
            <v>Strain Hardware for AAAC232 sq.mm.</v>
          </cell>
          <cell r="C108" t="str">
            <v>Set</v>
          </cell>
          <cell r="D108">
            <v>495</v>
          </cell>
          <cell r="E108">
            <v>0</v>
          </cell>
          <cell r="F108">
            <v>495</v>
          </cell>
        </row>
        <row r="109">
          <cell r="B109" t="str">
            <v xml:space="preserve">Strain Hardware for0.2 ACSR </v>
          </cell>
          <cell r="C109" t="str">
            <v>Set</v>
          </cell>
          <cell r="D109">
            <v>538.72</v>
          </cell>
          <cell r="E109">
            <v>0</v>
          </cell>
          <cell r="F109">
            <v>538.72</v>
          </cell>
        </row>
        <row r="110">
          <cell r="B110" t="str">
            <v xml:space="preserve">Suspension Hardware for 0.2 ACSR </v>
          </cell>
          <cell r="C110" t="str">
            <v>Set</v>
          </cell>
          <cell r="D110">
            <v>280</v>
          </cell>
          <cell r="E110">
            <v>0</v>
          </cell>
          <cell r="F110">
            <v>280</v>
          </cell>
        </row>
        <row r="111">
          <cell r="B111" t="str">
            <v>Strain Hardware forWeasel/Squirrel</v>
          </cell>
          <cell r="C111" t="str">
            <v>Set</v>
          </cell>
          <cell r="D111">
            <v>171.76</v>
          </cell>
          <cell r="E111">
            <v>0</v>
          </cell>
          <cell r="F111">
            <v>171.76</v>
          </cell>
        </row>
        <row r="112">
          <cell r="B112" t="str">
            <v>Strain Hardware for Dog0.1 or Equ.AAAC.</v>
          </cell>
          <cell r="C112" t="str">
            <v>Set</v>
          </cell>
          <cell r="D112">
            <v>332.22</v>
          </cell>
          <cell r="E112">
            <v>0</v>
          </cell>
          <cell r="F112">
            <v>332.22</v>
          </cell>
        </row>
        <row r="113">
          <cell r="B113" t="str">
            <v>SSN Hardware for 0.1 Dog or AAAC 100 Sq.mm</v>
          </cell>
          <cell r="C113" t="str">
            <v>Set</v>
          </cell>
          <cell r="D113">
            <v>185.62</v>
          </cell>
          <cell r="E113">
            <v>0</v>
          </cell>
          <cell r="F113">
            <v>185.62</v>
          </cell>
        </row>
        <row r="114">
          <cell r="B114" t="str">
            <v>G.I.Wire 8 SWG/ 6 SWG</v>
          </cell>
          <cell r="C114" t="str">
            <v>Kg.</v>
          </cell>
          <cell r="D114">
            <v>43.375500000000002</v>
          </cell>
          <cell r="E114">
            <v>6.2547471000000003</v>
          </cell>
          <cell r="F114">
            <v>49.630247100000005</v>
          </cell>
        </row>
        <row r="115">
          <cell r="B115" t="str">
            <v>G.I.Wire 8 SWG/ 6 SWG</v>
          </cell>
          <cell r="C115" t="str">
            <v>Kg.</v>
          </cell>
          <cell r="D115">
            <v>43.375500000000002</v>
          </cell>
          <cell r="E115">
            <v>6.2547471000000003</v>
          </cell>
          <cell r="F115">
            <v>49.630247100000005</v>
          </cell>
        </row>
        <row r="116">
          <cell r="B116" t="str">
            <v>G.I.Wire 3.15mm (10 SWG)</v>
          </cell>
          <cell r="C116" t="str">
            <v>Kg.</v>
          </cell>
          <cell r="D116">
            <v>43.375500000000002</v>
          </cell>
          <cell r="E116">
            <v>6.2547471000000003</v>
          </cell>
          <cell r="F116">
            <v>49.630247100000005</v>
          </cell>
        </row>
        <row r="117">
          <cell r="B117" t="str">
            <v>G.I.Stay Wire 7/4mm(8 SWG)</v>
          </cell>
          <cell r="C117" t="str">
            <v>Kg.</v>
          </cell>
          <cell r="D117">
            <v>45.441000000000003</v>
          </cell>
          <cell r="E117">
            <v>6.5525922000000003</v>
          </cell>
          <cell r="F117">
            <v>51.993592200000002</v>
          </cell>
        </row>
        <row r="118">
          <cell r="B118" t="str">
            <v>G.I.Stay Wire 7/3.15mm(10SWG)</v>
          </cell>
          <cell r="C118" t="str">
            <v>Kg.</v>
          </cell>
          <cell r="D118">
            <v>45.441000000000003</v>
          </cell>
          <cell r="E118">
            <v>6.5525922000000003</v>
          </cell>
          <cell r="F118">
            <v>51.993592200000002</v>
          </cell>
        </row>
        <row r="119">
          <cell r="B119" t="str">
            <v xml:space="preserve">G.I.Barbed Wire `A' type. </v>
          </cell>
          <cell r="C119" t="str">
            <v>Kg.</v>
          </cell>
          <cell r="D119">
            <v>51.787999999999997</v>
          </cell>
          <cell r="E119">
            <v>0</v>
          </cell>
          <cell r="F119">
            <v>51.787999999999997</v>
          </cell>
        </row>
        <row r="120">
          <cell r="B120" t="str">
            <v>RSJ 116x100, 6 m long</v>
          </cell>
          <cell r="C120" t="str">
            <v>No.</v>
          </cell>
          <cell r="D120">
            <v>5887.8665999999994</v>
          </cell>
          <cell r="E120">
            <v>849.03036371999985</v>
          </cell>
          <cell r="F120">
            <v>6736.8969637199989</v>
          </cell>
        </row>
        <row r="121">
          <cell r="B121" t="str">
            <v>RSJ 116x100, 8 m long</v>
          </cell>
          <cell r="C121" t="str">
            <v>No.</v>
          </cell>
          <cell r="D121">
            <v>7850.4888000000001</v>
          </cell>
          <cell r="E121">
            <v>1132.04048496</v>
          </cell>
          <cell r="F121">
            <v>8982.529284960001</v>
          </cell>
        </row>
        <row r="122">
          <cell r="B122" t="str">
            <v>RSJ 116x100, 9 m long</v>
          </cell>
          <cell r="C122" t="str">
            <v>No.</v>
          </cell>
          <cell r="D122">
            <v>8831.7998999999982</v>
          </cell>
          <cell r="E122">
            <v>1273.5455455799997</v>
          </cell>
          <cell r="F122">
            <v>10105.345445579998</v>
          </cell>
        </row>
        <row r="123">
          <cell r="B123" t="str">
            <v>RSJ 116x100, 10 m long</v>
          </cell>
          <cell r="C123" t="str">
            <v>No.</v>
          </cell>
          <cell r="D123">
            <v>9813.1110000000008</v>
          </cell>
          <cell r="E123">
            <v>1415.0506062000002</v>
          </cell>
          <cell r="F123">
            <v>11228.161606200001</v>
          </cell>
        </row>
        <row r="124">
          <cell r="B124" t="str">
            <v>RSJ 116x100, 11 m long</v>
          </cell>
          <cell r="C124" t="str">
            <v>No.</v>
          </cell>
          <cell r="D124">
            <v>10794.4221</v>
          </cell>
          <cell r="E124">
            <v>1556.5556668199999</v>
          </cell>
          <cell r="F124">
            <v>12350.97776682</v>
          </cell>
        </row>
        <row r="125">
          <cell r="B125" t="str">
            <v>RSJ 116x100, 12 m long</v>
          </cell>
          <cell r="C125" t="str">
            <v>No.</v>
          </cell>
          <cell r="D125">
            <v>11775.733199999999</v>
          </cell>
          <cell r="E125">
            <v>1698.0607274399997</v>
          </cell>
          <cell r="F125">
            <v>13473.793927439998</v>
          </cell>
        </row>
        <row r="126">
          <cell r="B126" t="str">
            <v>RSJ 116x100, 13 m long</v>
          </cell>
          <cell r="C126" t="str">
            <v>No.</v>
          </cell>
          <cell r="D126">
            <v>12757.0443</v>
          </cell>
          <cell r="E126">
            <v>1839.5657880599999</v>
          </cell>
          <cell r="F126">
            <v>14596.610088059999</v>
          </cell>
        </row>
        <row r="127">
          <cell r="B127" t="str">
            <v>RSJ 152x152, 6 m long</v>
          </cell>
          <cell r="C127" t="str">
            <v>No.</v>
          </cell>
          <cell r="D127">
            <v>9497.3848200000011</v>
          </cell>
          <cell r="E127">
            <v>1369.5228910440001</v>
          </cell>
          <cell r="F127">
            <v>10866.907711044001</v>
          </cell>
        </row>
        <row r="128">
          <cell r="B128" t="str">
            <v>RSJ 152x152, 8 m long</v>
          </cell>
          <cell r="C128" t="str">
            <v>No.</v>
          </cell>
          <cell r="D128">
            <v>12663.179759999999</v>
          </cell>
          <cell r="E128">
            <v>1826.0305213919999</v>
          </cell>
          <cell r="F128">
            <v>14489.210281391999</v>
          </cell>
        </row>
        <row r="129">
          <cell r="B129" t="str">
            <v>RSJ 152x152, 9 m long</v>
          </cell>
          <cell r="C129" t="str">
            <v>No.</v>
          </cell>
          <cell r="D129">
            <v>14246.077230000001</v>
          </cell>
          <cell r="E129">
            <v>2054.2843365660001</v>
          </cell>
          <cell r="F129">
            <v>16300.361566566</v>
          </cell>
        </row>
        <row r="130">
          <cell r="B130" t="str">
            <v>RSJ 152x152, 10 m long</v>
          </cell>
          <cell r="C130" t="str">
            <v>No.</v>
          </cell>
          <cell r="D130">
            <v>15828.974699999999</v>
          </cell>
          <cell r="E130">
            <v>2282.5381517399996</v>
          </cell>
          <cell r="F130">
            <v>18111.512851739997</v>
          </cell>
        </row>
        <row r="131">
          <cell r="B131" t="str">
            <v>RSJ 152x152, 11 m long</v>
          </cell>
          <cell r="C131" t="str">
            <v>No.</v>
          </cell>
          <cell r="D131">
            <v>17411.872169999999</v>
          </cell>
          <cell r="E131">
            <v>2510.7919669139997</v>
          </cell>
          <cell r="F131">
            <v>19922.664136913998</v>
          </cell>
        </row>
        <row r="132">
          <cell r="B132" t="str">
            <v>RSJ 152x152, 12 m long</v>
          </cell>
          <cell r="C132" t="str">
            <v>No.</v>
          </cell>
          <cell r="D132">
            <v>18994.769640000002</v>
          </cell>
          <cell r="E132">
            <v>2739.0457820880001</v>
          </cell>
          <cell r="F132">
            <v>21733.815422088002</v>
          </cell>
        </row>
        <row r="133">
          <cell r="B133" t="str">
            <v>RSJ 152x152, 13 m long</v>
          </cell>
          <cell r="C133" t="str">
            <v>No.</v>
          </cell>
          <cell r="D133">
            <v>20577.667109999999</v>
          </cell>
          <cell r="E133">
            <v>2967.2995972619997</v>
          </cell>
          <cell r="F133">
            <v>23544.966707262</v>
          </cell>
        </row>
        <row r="134">
          <cell r="B134" t="str">
            <v>RSJ 125x70, 6 m long</v>
          </cell>
          <cell r="C134" t="str">
            <v>No.</v>
          </cell>
          <cell r="D134">
            <v>3305.4596400000005</v>
          </cell>
          <cell r="E134">
            <v>476.64728008800006</v>
          </cell>
          <cell r="F134">
            <v>3782.1069200880006</v>
          </cell>
        </row>
        <row r="135">
          <cell r="B135" t="str">
            <v>RSJ 125x70, 8 m long</v>
          </cell>
          <cell r="C135" t="str">
            <v>No.</v>
          </cell>
          <cell r="D135">
            <v>4407.27952</v>
          </cell>
          <cell r="E135">
            <v>635.52970678400004</v>
          </cell>
          <cell r="F135">
            <v>5042.8092267840002</v>
          </cell>
        </row>
        <row r="136">
          <cell r="B136" t="str">
            <v>RSJ 125x70, 9 m long</v>
          </cell>
          <cell r="C136" t="str">
            <v>No.</v>
          </cell>
          <cell r="D136">
            <v>4958.1894600000005</v>
          </cell>
          <cell r="E136">
            <v>714.97092013200006</v>
          </cell>
          <cell r="F136">
            <v>5673.1603801320007</v>
          </cell>
        </row>
        <row r="137">
          <cell r="B137" t="str">
            <v>RSJ 125x70, 10 m long</v>
          </cell>
          <cell r="C137" t="str">
            <v>No.</v>
          </cell>
          <cell r="D137">
            <v>5509.0994000000001</v>
          </cell>
          <cell r="E137">
            <v>794.41213347999997</v>
          </cell>
          <cell r="F137">
            <v>6303.5115334800003</v>
          </cell>
        </row>
        <row r="138">
          <cell r="B138" t="str">
            <v>RSJ 125x70, 11 m long</v>
          </cell>
          <cell r="C138" t="str">
            <v>No.</v>
          </cell>
          <cell r="D138">
            <v>6060.0093400000005</v>
          </cell>
          <cell r="E138">
            <v>873.8533468280001</v>
          </cell>
          <cell r="F138">
            <v>6933.8626868280007</v>
          </cell>
        </row>
        <row r="139">
          <cell r="B139" t="str">
            <v>RSJ 125x70, 12 m long</v>
          </cell>
          <cell r="C139" t="str">
            <v>No.</v>
          </cell>
          <cell r="D139">
            <v>6610.919280000001</v>
          </cell>
          <cell r="E139">
            <v>953.29456017600012</v>
          </cell>
          <cell r="F139">
            <v>7564.2138401760012</v>
          </cell>
        </row>
        <row r="140">
          <cell r="B140" t="str">
            <v>RSJ 125x70, 13 m long</v>
          </cell>
          <cell r="C140" t="str">
            <v>No.</v>
          </cell>
          <cell r="D140">
            <v>7161.8292200000005</v>
          </cell>
          <cell r="E140">
            <v>1032.735773524</v>
          </cell>
          <cell r="F140">
            <v>8194.5649935239999</v>
          </cell>
        </row>
        <row r="141">
          <cell r="B141" t="str">
            <v>RSJ 175x85, 6 m long</v>
          </cell>
          <cell r="C141" t="str">
            <v>No.</v>
          </cell>
          <cell r="D141">
            <v>6657.2172540000001</v>
          </cell>
          <cell r="E141">
            <v>959.97072802679997</v>
          </cell>
          <cell r="F141">
            <v>7617.1879820268005</v>
          </cell>
        </row>
        <row r="142">
          <cell r="B142" t="str">
            <v>RSJ 175x85, 8 m long</v>
          </cell>
          <cell r="C142" t="str">
            <v>No.</v>
          </cell>
          <cell r="D142">
            <v>8876.2896720000008</v>
          </cell>
          <cell r="E142">
            <v>1279.9609707024001</v>
          </cell>
          <cell r="F142">
            <v>10156.250642702402</v>
          </cell>
        </row>
        <row r="143">
          <cell r="B143" t="str">
            <v>RSJ 175x85, 9 m long</v>
          </cell>
          <cell r="C143" t="str">
            <v>No.</v>
          </cell>
          <cell r="D143">
            <v>9985.8258809999988</v>
          </cell>
          <cell r="E143">
            <v>1439.9560920401998</v>
          </cell>
          <cell r="F143">
            <v>11425.781973040199</v>
          </cell>
        </row>
        <row r="144">
          <cell r="B144" t="str">
            <v>RSJ 175x85, 10 m long</v>
          </cell>
          <cell r="C144" t="str">
            <v>No.</v>
          </cell>
          <cell r="D144">
            <v>11095.362089999999</v>
          </cell>
          <cell r="E144">
            <v>1599.9512133779997</v>
          </cell>
          <cell r="F144">
            <v>12695.313303377998</v>
          </cell>
        </row>
        <row r="145">
          <cell r="B145" t="str">
            <v>RSJ 175x85, 11 m long</v>
          </cell>
          <cell r="C145" t="str">
            <v>No.</v>
          </cell>
          <cell r="D145">
            <v>12204.898298999999</v>
          </cell>
          <cell r="E145">
            <v>1759.9463347157998</v>
          </cell>
          <cell r="F145">
            <v>13964.844633715798</v>
          </cell>
        </row>
        <row r="146">
          <cell r="B146" t="str">
            <v>RSJ 175x85, 12 m long</v>
          </cell>
          <cell r="C146" t="str">
            <v>No.</v>
          </cell>
          <cell r="D146">
            <v>13314.434508</v>
          </cell>
          <cell r="E146">
            <v>1919.9414560535999</v>
          </cell>
          <cell r="F146">
            <v>15234.375964053601</v>
          </cell>
        </row>
        <row r="147">
          <cell r="B147" t="str">
            <v>RSJ 175x85, 13 m long</v>
          </cell>
          <cell r="C147" t="str">
            <v>No.</v>
          </cell>
          <cell r="D147">
            <v>14423.970716999998</v>
          </cell>
          <cell r="E147">
            <v>2079.9365773913996</v>
          </cell>
          <cell r="F147">
            <v>16503.9072943914</v>
          </cell>
        </row>
        <row r="149">
          <cell r="B149" t="str">
            <v>RSJ 175x85, 13 m long</v>
          </cell>
          <cell r="C149" t="str">
            <v>No.</v>
          </cell>
          <cell r="D149">
            <v>14423.970717</v>
          </cell>
          <cell r="E149">
            <v>2079.9365769999999</v>
          </cell>
          <cell r="F149">
            <v>16503.907294000001</v>
          </cell>
        </row>
        <row r="150">
          <cell r="B150" t="str">
            <v>Name of material</v>
          </cell>
          <cell r="C150" t="str">
            <v>Unit</v>
          </cell>
          <cell r="D150" t="str">
            <v>Exworks</v>
          </cell>
          <cell r="E150" t="str">
            <v>E.D.</v>
          </cell>
          <cell r="F150" t="str">
            <v>Rate per unit as on june 08</v>
          </cell>
        </row>
        <row r="151">
          <cell r="B151" t="str">
            <v>Dist.Trans.  22/0.433 kV  ID  630 KVA</v>
          </cell>
          <cell r="C151" t="str">
            <v>No</v>
          </cell>
          <cell r="D151">
            <v>593317.61</v>
          </cell>
          <cell r="E151">
            <v>85556.399361999996</v>
          </cell>
          <cell r="F151">
            <v>678874.00936200004</v>
          </cell>
        </row>
        <row r="152">
          <cell r="B152" t="str">
            <v>Dist. Transformer 630 KVA, 22/0.43 kv</v>
          </cell>
          <cell r="C152" t="str">
            <v>No</v>
          </cell>
          <cell r="D152">
            <v>592548.4</v>
          </cell>
          <cell r="E152">
            <v>85445.47928</v>
          </cell>
          <cell r="F152">
            <v>677993.87927999999</v>
          </cell>
        </row>
        <row r="153">
          <cell r="B153" t="str">
            <v>Dist. Transformer 315 KVA, 22/0.43 kv</v>
          </cell>
          <cell r="C153" t="str">
            <v>No</v>
          </cell>
          <cell r="D153">
            <v>357994.28</v>
          </cell>
          <cell r="E153">
            <v>51622.775176000003</v>
          </cell>
          <cell r="F153">
            <v>409617.05517600005</v>
          </cell>
        </row>
        <row r="154">
          <cell r="B154" t="str">
            <v>Dist.transformer 200kva,22/0.4kv(con)</v>
          </cell>
          <cell r="C154" t="str">
            <v>No</v>
          </cell>
          <cell r="D154">
            <v>280832.53999999998</v>
          </cell>
          <cell r="E154">
            <v>40496.052267999992</v>
          </cell>
          <cell r="F154">
            <v>321328.59226799995</v>
          </cell>
        </row>
        <row r="155">
          <cell r="B155" t="str">
            <v>Dist.transformer 100kva,22/0.4kv(con)</v>
          </cell>
          <cell r="C155" t="str">
            <v>No</v>
          </cell>
          <cell r="D155">
            <v>164004.38</v>
          </cell>
          <cell r="E155">
            <v>23649.431595999999</v>
          </cell>
          <cell r="F155">
            <v>187653.81159600001</v>
          </cell>
        </row>
        <row r="156">
          <cell r="B156" t="str">
            <v>Dist. transformer 63kva,22/0.4kv(con)</v>
          </cell>
          <cell r="C156" t="str">
            <v>No</v>
          </cell>
          <cell r="D156">
            <v>133770.95000000001</v>
          </cell>
          <cell r="E156">
            <v>19289.770990000001</v>
          </cell>
          <cell r="F156">
            <v>153060.72099</v>
          </cell>
        </row>
        <row r="157">
          <cell r="B157" t="str">
            <v>Dist. Transformer 630 KVA, 11/0.43 kv</v>
          </cell>
          <cell r="C157" t="str">
            <v>No.</v>
          </cell>
          <cell r="D157">
            <v>545499.68999999994</v>
          </cell>
          <cell r="E157">
            <v>78661.055297999992</v>
          </cell>
          <cell r="F157">
            <v>624160.74529799994</v>
          </cell>
        </row>
        <row r="158">
          <cell r="B158" t="str">
            <v>Dist.Trans.  11/0.433 kV  ID 315 KVA</v>
          </cell>
          <cell r="C158" t="str">
            <v>No</v>
          </cell>
          <cell r="D158">
            <v>339369.67</v>
          </cell>
          <cell r="E158">
            <v>48937.106413999994</v>
          </cell>
          <cell r="F158">
            <v>388306.77641399996</v>
          </cell>
        </row>
        <row r="159">
          <cell r="B159" t="str">
            <v>Dist. Transformer 315 KVA, 11/0.43 kv</v>
          </cell>
          <cell r="C159" t="str">
            <v>No</v>
          </cell>
          <cell r="D159">
            <v>337650.77</v>
          </cell>
          <cell r="E159">
            <v>48689.241033999999</v>
          </cell>
          <cell r="F159">
            <v>386340.01103400002</v>
          </cell>
        </row>
        <row r="160">
          <cell r="B160" t="str">
            <v>Dist. Transformer 200 KVA, 11/0.43 kv</v>
          </cell>
          <cell r="C160" t="str">
            <v>No</v>
          </cell>
          <cell r="D160">
            <v>200929.37</v>
          </cell>
          <cell r="E160">
            <v>28974.015153999997</v>
          </cell>
          <cell r="F160">
            <v>229903.38515399999</v>
          </cell>
        </row>
        <row r="161">
          <cell r="B161" t="str">
            <v>Dist. Transformer 100 KVA, 11/0.43 kv</v>
          </cell>
          <cell r="C161" t="str">
            <v>No</v>
          </cell>
          <cell r="D161">
            <v>110842.71</v>
          </cell>
          <cell r="E161">
            <v>15983.518782000001</v>
          </cell>
          <cell r="F161">
            <v>126826.22878200001</v>
          </cell>
        </row>
        <row r="162">
          <cell r="B162" t="str">
            <v>Dist. transformer 63kva,11/.4kv(con)</v>
          </cell>
          <cell r="C162" t="str">
            <v>No</v>
          </cell>
          <cell r="D162">
            <v>89064.81</v>
          </cell>
          <cell r="E162">
            <v>12843.145601999999</v>
          </cell>
          <cell r="F162">
            <v>101907.955602</v>
          </cell>
        </row>
        <row r="163">
          <cell r="B163" t="str">
            <v>Dist Trans.  11/0.433 KV 200 KVA (AMDT)</v>
          </cell>
          <cell r="C163">
            <v>0</v>
          </cell>
          <cell r="D163">
            <v>216371.7</v>
          </cell>
          <cell r="E163">
            <v>31200.799139999999</v>
          </cell>
          <cell r="F163">
            <v>247572.49914</v>
          </cell>
        </row>
        <row r="164">
          <cell r="B164" t="str">
            <v>Dist Trans.  11/0.433 KV 100 KVA (AMDT)</v>
          </cell>
          <cell r="C164" t="str">
            <v>No</v>
          </cell>
          <cell r="D164">
            <v>110701.8</v>
          </cell>
          <cell r="E164">
            <v>15963.199559999999</v>
          </cell>
          <cell r="F164">
            <v>126664.99956</v>
          </cell>
        </row>
        <row r="165">
          <cell r="B165" t="str">
            <v>Dist.Trans.  11/0.433 KV  63 KVA (AMDT)</v>
          </cell>
          <cell r="C165" t="str">
            <v>No</v>
          </cell>
          <cell r="D165">
            <v>89456</v>
          </cell>
          <cell r="E165">
            <v>12899.555199999999</v>
          </cell>
          <cell r="F165">
            <v>102355.5552</v>
          </cell>
        </row>
        <row r="166">
          <cell r="B166" t="str">
            <v>Dist.Trans.  11/0.433 KV  25 KVA (AMDT) Single phase</v>
          </cell>
          <cell r="C166">
            <v>0</v>
          </cell>
          <cell r="D166">
            <v>49625.36</v>
          </cell>
          <cell r="E166">
            <v>7155.9769120000001</v>
          </cell>
          <cell r="F166">
            <v>56781.336911999999</v>
          </cell>
        </row>
        <row r="167">
          <cell r="B167" t="str">
            <v>Dist.Trans.  11/0.433 KV  15 KVA (AMDT) Single phase</v>
          </cell>
          <cell r="C167">
            <v>0</v>
          </cell>
          <cell r="D167">
            <v>36448.25</v>
          </cell>
          <cell r="E167">
            <v>5255.8376499999995</v>
          </cell>
          <cell r="F167">
            <v>41704.087650000001</v>
          </cell>
        </row>
        <row r="168">
          <cell r="B168" t="str">
            <v>Dist Trans.  11/0.433 KV 25 KVA Single Phase</v>
          </cell>
          <cell r="C168" t="str">
            <v>No</v>
          </cell>
          <cell r="D168">
            <v>41130.080000000002</v>
          </cell>
          <cell r="E168">
            <v>5930.9575359999999</v>
          </cell>
          <cell r="F168">
            <v>47061.037536000003</v>
          </cell>
        </row>
        <row r="169">
          <cell r="B169" t="str">
            <v>Dist Trans.  11/0.433 KV 15 KVA Single Phase</v>
          </cell>
          <cell r="C169" t="str">
            <v>No</v>
          </cell>
          <cell r="D169">
            <v>31176.73</v>
          </cell>
          <cell r="E169">
            <v>4495.6844659999997</v>
          </cell>
          <cell r="F169">
            <v>35672.414466000002</v>
          </cell>
        </row>
        <row r="170">
          <cell r="B170" t="str">
            <v>L.A.s 22KV (Gapless type) with disconnector</v>
          </cell>
          <cell r="C170" t="str">
            <v>Set</v>
          </cell>
          <cell r="D170">
            <v>1144.8399999999999</v>
          </cell>
          <cell r="E170">
            <v>165.085928</v>
          </cell>
          <cell r="F170">
            <v>1309.9259279999999</v>
          </cell>
        </row>
        <row r="171">
          <cell r="B171" t="str">
            <v>L.As. 11 KV (Gapless type)  with disconector</v>
          </cell>
          <cell r="C171" t="str">
            <v>Set</v>
          </cell>
          <cell r="D171">
            <v>641.68499999999995</v>
          </cell>
          <cell r="E171">
            <v>92.530976999999993</v>
          </cell>
          <cell r="F171">
            <v>734.21597699999995</v>
          </cell>
        </row>
        <row r="172">
          <cell r="B172" t="str">
            <v>Capacitor banks without Switchgear 11 KV 0.6 MVAR</v>
          </cell>
          <cell r="C172" t="str">
            <v>Set</v>
          </cell>
          <cell r="D172">
            <v>42175.9</v>
          </cell>
          <cell r="E172">
            <v>6081.7647800000004</v>
          </cell>
          <cell r="F172">
            <v>48257.664779999999</v>
          </cell>
        </row>
        <row r="173">
          <cell r="B173" t="str">
            <v>Automatic capacitor switch 11 KV</v>
          </cell>
          <cell r="C173" t="str">
            <v>No.</v>
          </cell>
          <cell r="D173">
            <v>96991.65</v>
          </cell>
          <cell r="E173">
            <v>13986.195929999998</v>
          </cell>
          <cell r="F173">
            <v>110977.84593</v>
          </cell>
        </row>
        <row r="174">
          <cell r="B174" t="str">
            <v>Kit Kat fuses 415 V 200 A</v>
          </cell>
          <cell r="C174" t="str">
            <v>No</v>
          </cell>
          <cell r="D174">
            <v>358.14</v>
          </cell>
          <cell r="E174">
            <v>0</v>
          </cell>
          <cell r="F174">
            <v>358.14</v>
          </cell>
        </row>
        <row r="175">
          <cell r="B175" t="str">
            <v>Kit Kat fuses 415 V 100 A</v>
          </cell>
          <cell r="C175" t="str">
            <v>No</v>
          </cell>
          <cell r="D175">
            <v>189.91</v>
          </cell>
          <cell r="E175">
            <v>0</v>
          </cell>
          <cell r="F175">
            <v>189.91</v>
          </cell>
        </row>
        <row r="176">
          <cell r="B176" t="str">
            <v>Single pole MCB with encloser 32 A</v>
          </cell>
          <cell r="C176" t="str">
            <v>No</v>
          </cell>
          <cell r="D176">
            <v>120.17</v>
          </cell>
          <cell r="E176">
            <v>17.328513999999998</v>
          </cell>
          <cell r="F176">
            <v>137.498514</v>
          </cell>
        </row>
        <row r="177">
          <cell r="B177" t="str">
            <v>Single pole MCB with encloser 20 A</v>
          </cell>
          <cell r="C177" t="str">
            <v>No</v>
          </cell>
          <cell r="D177">
            <v>116.55</v>
          </cell>
          <cell r="E177">
            <v>16.806509999999999</v>
          </cell>
          <cell r="F177">
            <v>133.35650999999999</v>
          </cell>
        </row>
        <row r="178">
          <cell r="B178" t="str">
            <v>Single pole MCB with encloser 10 A</v>
          </cell>
          <cell r="C178" t="str">
            <v>No</v>
          </cell>
          <cell r="D178">
            <v>116.55</v>
          </cell>
          <cell r="E178">
            <v>16.806509999999999</v>
          </cell>
          <cell r="F178">
            <v>133.35650999999999</v>
          </cell>
        </row>
        <row r="179">
          <cell r="B179" t="str">
            <v xml:space="preserve">22KV   metering cubical with ratio 5/5A CTs &amp; PTs but without meter </v>
          </cell>
          <cell r="C179" t="str">
            <v>Set</v>
          </cell>
          <cell r="D179">
            <v>120138.77</v>
          </cell>
          <cell r="E179">
            <v>17324.010633999998</v>
          </cell>
          <cell r="F179">
            <v>137462.780634</v>
          </cell>
        </row>
        <row r="180">
          <cell r="B180" t="str">
            <v>-do-          with ratio 10/5A</v>
          </cell>
          <cell r="C180" t="str">
            <v>Set</v>
          </cell>
          <cell r="D180">
            <v>120138.77</v>
          </cell>
          <cell r="E180">
            <v>17324.010633999998</v>
          </cell>
          <cell r="F180">
            <v>137462.780634</v>
          </cell>
        </row>
        <row r="181">
          <cell r="B181" t="str">
            <v>-do-         with ratio 25/5A</v>
          </cell>
          <cell r="C181" t="str">
            <v>Set</v>
          </cell>
          <cell r="D181">
            <v>120138.77</v>
          </cell>
          <cell r="E181">
            <v>17324.010633999998</v>
          </cell>
          <cell r="F181">
            <v>137462.780634</v>
          </cell>
        </row>
        <row r="182">
          <cell r="B182" t="str">
            <v>-do-          with ratio 50/5A</v>
          </cell>
          <cell r="C182" t="str">
            <v>Set</v>
          </cell>
          <cell r="D182">
            <v>120138.77</v>
          </cell>
          <cell r="E182">
            <v>17324.010633999998</v>
          </cell>
          <cell r="F182">
            <v>137462.780634</v>
          </cell>
        </row>
        <row r="183">
          <cell r="B183" t="str">
            <v xml:space="preserve">11KV   metering cubical with ratio 5/5A CTs &amp; PTs but without meter </v>
          </cell>
          <cell r="C183" t="str">
            <v>Set</v>
          </cell>
          <cell r="D183">
            <v>82780.06</v>
          </cell>
          <cell r="E183">
            <v>11936.884651999999</v>
          </cell>
          <cell r="F183">
            <v>94716.944651999991</v>
          </cell>
        </row>
        <row r="184">
          <cell r="B184" t="str">
            <v>-do-          with ratio 10/5A</v>
          </cell>
          <cell r="C184" t="str">
            <v>Set</v>
          </cell>
          <cell r="D184">
            <v>79681.56</v>
          </cell>
          <cell r="E184">
            <v>11490.080951999998</v>
          </cell>
          <cell r="F184">
            <v>91171.640952000002</v>
          </cell>
        </row>
        <row r="185">
          <cell r="B185" t="str">
            <v>-do-         with ratio 25/5A</v>
          </cell>
          <cell r="C185" t="str">
            <v>Set</v>
          </cell>
          <cell r="D185">
            <v>76687.69</v>
          </cell>
          <cell r="E185">
            <v>11058.364898</v>
          </cell>
          <cell r="F185">
            <v>87746.054898000002</v>
          </cell>
        </row>
        <row r="186">
          <cell r="B186" t="str">
            <v>-do-          with ratio 50/5A</v>
          </cell>
          <cell r="C186" t="str">
            <v>Set</v>
          </cell>
          <cell r="D186">
            <v>74175.850000000006</v>
          </cell>
          <cell r="E186">
            <v>10696.157570000001</v>
          </cell>
          <cell r="F186">
            <v>84872.007570000002</v>
          </cell>
        </row>
        <row r="187">
          <cell r="B187" t="str">
            <v>-do-          with ratio 100/5A</v>
          </cell>
          <cell r="C187" t="str">
            <v>Set</v>
          </cell>
          <cell r="D187">
            <v>73765.06</v>
          </cell>
          <cell r="E187">
            <v>10636.921651999999</v>
          </cell>
          <cell r="F187">
            <v>84401.981652000002</v>
          </cell>
        </row>
        <row r="188">
          <cell r="B188" t="str">
            <v>11 kV Extendable Ring Main unit</v>
          </cell>
          <cell r="C188" t="str">
            <v>No</v>
          </cell>
          <cell r="D188">
            <v>297191.11</v>
          </cell>
          <cell r="E188">
            <v>42854.958061999998</v>
          </cell>
          <cell r="F188">
            <v>340046.06806199998</v>
          </cell>
        </row>
        <row r="189">
          <cell r="B189" t="str">
            <v>11 kV Non Extendable Ring Main unit</v>
          </cell>
          <cell r="C189" t="str">
            <v>No</v>
          </cell>
          <cell r="D189">
            <v>286184.03000000003</v>
          </cell>
          <cell r="E189">
            <v>41267.737126</v>
          </cell>
          <cell r="F189">
            <v>327451.76712600002</v>
          </cell>
        </row>
        <row r="190">
          <cell r="B190" t="str">
            <v>22 kV Non Extendable Ring Main unit</v>
          </cell>
          <cell r="C190" t="str">
            <v>No</v>
          </cell>
          <cell r="D190">
            <v>417415.92</v>
          </cell>
          <cell r="E190">
            <v>60191.375663999992</v>
          </cell>
          <cell r="F190">
            <v>477607.29566399998</v>
          </cell>
        </row>
        <row r="191">
          <cell r="B191" t="str">
            <v xml:space="preserve">Transformer Oil </v>
          </cell>
          <cell r="C191" t="str">
            <v>KL</v>
          </cell>
          <cell r="D191">
            <v>50467.199999999997</v>
          </cell>
          <cell r="E191">
            <v>7277.3702399999993</v>
          </cell>
          <cell r="F191">
            <v>57744.570239999994</v>
          </cell>
        </row>
        <row r="192">
          <cell r="B192" t="str">
            <v>Transformer Oil</v>
          </cell>
          <cell r="C192" t="str">
            <v>KL</v>
          </cell>
          <cell r="D192">
            <v>50467.199999999997</v>
          </cell>
          <cell r="E192">
            <v>7277.3702400000002</v>
          </cell>
          <cell r="F192">
            <v>57744.570240000001</v>
          </cell>
        </row>
        <row r="193">
          <cell r="B193" t="str">
            <v>Cost of material</v>
          </cell>
        </row>
        <row r="194">
          <cell r="B194" t="str">
            <v>Cost of material</v>
          </cell>
        </row>
        <row r="195">
          <cell r="B195" t="str">
            <v xml:space="preserve">Erection on material                                         </v>
          </cell>
          <cell r="C195">
            <v>0</v>
          </cell>
          <cell r="D195">
            <v>0</v>
          </cell>
          <cell r="E195">
            <v>0</v>
          </cell>
          <cell r="F195">
            <v>0.1</v>
          </cell>
        </row>
        <row r="196">
          <cell r="B196" t="str">
            <v xml:space="preserve">Transportation on material   </v>
          </cell>
          <cell r="C196">
            <v>0</v>
          </cell>
          <cell r="D196">
            <v>0</v>
          </cell>
          <cell r="E196">
            <v>0</v>
          </cell>
          <cell r="F196">
            <v>0.05</v>
          </cell>
        </row>
        <row r="197">
          <cell r="B197" t="str">
            <v xml:space="preserve">Insurance on material </v>
          </cell>
          <cell r="C197">
            <v>0</v>
          </cell>
          <cell r="D197">
            <v>0</v>
          </cell>
          <cell r="E197">
            <v>0</v>
          </cell>
          <cell r="F197">
            <v>0.01</v>
          </cell>
        </row>
        <row r="198">
          <cell r="B198" t="str">
            <v>Service Tax @ (12.24%  On 1+2+3)</v>
          </cell>
          <cell r="C198">
            <v>0</v>
          </cell>
          <cell r="D198">
            <v>0</v>
          </cell>
          <cell r="E198">
            <v>0</v>
          </cell>
          <cell r="F198">
            <v>1.9599999999999999E-2</v>
          </cell>
        </row>
        <row r="199">
          <cell r="B199" t="str">
            <v xml:space="preserve">Contingencies on material                     </v>
          </cell>
          <cell r="C199">
            <v>0</v>
          </cell>
          <cell r="D199">
            <v>0</v>
          </cell>
          <cell r="E199">
            <v>0</v>
          </cell>
          <cell r="F199">
            <v>0.03</v>
          </cell>
        </row>
        <row r="200">
          <cell r="B200" t="str">
            <v xml:space="preserve">T &amp; P on material        </v>
          </cell>
          <cell r="C200">
            <v>0</v>
          </cell>
          <cell r="D200">
            <v>0</v>
          </cell>
          <cell r="E200">
            <v>0</v>
          </cell>
          <cell r="F200">
            <v>1.4999999999999999E-2</v>
          </cell>
        </row>
        <row r="201">
          <cell r="B201" t="str">
            <v>Contractor supervision on charges on material</v>
          </cell>
          <cell r="C201">
            <v>0</v>
          </cell>
          <cell r="D201">
            <v>0</v>
          </cell>
          <cell r="E201">
            <v>0</v>
          </cell>
          <cell r="F201">
            <v>0.1</v>
          </cell>
        </row>
        <row r="202">
          <cell r="B202" t="str">
            <v>Contractor profit on Total Project Cost i.e. on Sub-Total-I</v>
          </cell>
          <cell r="C202">
            <v>0</v>
          </cell>
          <cell r="D202">
            <v>0</v>
          </cell>
          <cell r="E202">
            <v>0</v>
          </cell>
          <cell r="F202">
            <v>0.05</v>
          </cell>
        </row>
        <row r="203">
          <cell r="B203" t="str">
            <v xml:space="preserve">Contractors Financing on material                                    </v>
          </cell>
          <cell r="C203">
            <v>0</v>
          </cell>
          <cell r="D203">
            <v>0</v>
          </cell>
          <cell r="E203">
            <v>0</v>
          </cell>
          <cell r="F203">
            <v>0.03</v>
          </cell>
        </row>
        <row r="204">
          <cell r="B204" t="str">
            <v>Price Escalation on Material Cost</v>
          </cell>
          <cell r="C204">
            <v>0</v>
          </cell>
          <cell r="D204">
            <v>0</v>
          </cell>
          <cell r="E204">
            <v>0</v>
          </cell>
          <cell r="F204">
            <v>0.05</v>
          </cell>
        </row>
        <row r="205">
          <cell r="B205" t="str">
            <v>H.O.supervision charges @ 1.5% (i.e. 15% of 10% on errection of material)</v>
          </cell>
          <cell r="C205">
            <v>0</v>
          </cell>
          <cell r="D205">
            <v>0</v>
          </cell>
          <cell r="E205">
            <v>0</v>
          </cell>
          <cell r="F205">
            <v>1.4999999999999999E-2</v>
          </cell>
        </row>
        <row r="206">
          <cell r="B206" t="str">
            <v>Interest during Construction Period (on total project</v>
          </cell>
          <cell r="C206">
            <v>0</v>
          </cell>
          <cell r="D206">
            <v>0</v>
          </cell>
          <cell r="E206">
            <v>0</v>
          </cell>
          <cell r="F206">
            <v>2.5000000000000001E-2</v>
          </cell>
        </row>
        <row r="207">
          <cell r="F207">
            <v>2.5000000000000001E-2</v>
          </cell>
        </row>
        <row r="208">
          <cell r="B208" t="str">
            <v>GROUP - XIII</v>
          </cell>
        </row>
        <row r="209">
          <cell r="B209" t="str">
            <v>Name of material</v>
          </cell>
          <cell r="C209" t="str">
            <v>Unit</v>
          </cell>
          <cell r="D209" t="str">
            <v>Exworks</v>
          </cell>
          <cell r="E209" t="str">
            <v>E.D.</v>
          </cell>
          <cell r="F209" t="str">
            <v>Rate per unit as on june 08</v>
          </cell>
        </row>
        <row r="210">
          <cell r="B210" t="str">
            <v>11 KV Isolators with EB (800 A)</v>
          </cell>
          <cell r="C210" t="str">
            <v>Set</v>
          </cell>
          <cell r="D210">
            <v>67920.509999999995</v>
          </cell>
          <cell r="E210">
            <v>9794.1375419999986</v>
          </cell>
          <cell r="F210">
            <v>77714.647541999992</v>
          </cell>
        </row>
        <row r="211">
          <cell r="B211" t="str">
            <v>11 KV Isolators without EB (800 Amp.)</v>
          </cell>
          <cell r="C211" t="str">
            <v>Set</v>
          </cell>
          <cell r="D211">
            <v>65668.149999999994</v>
          </cell>
          <cell r="E211">
            <v>0</v>
          </cell>
          <cell r="F211">
            <v>65668.149999999994</v>
          </cell>
        </row>
        <row r="212">
          <cell r="B212" t="str">
            <v>22 KV Isolators with EB (800 A)</v>
          </cell>
          <cell r="C212" t="str">
            <v>Set</v>
          </cell>
          <cell r="D212">
            <v>67920.509999999995</v>
          </cell>
          <cell r="E212">
            <v>9794.1375419999986</v>
          </cell>
          <cell r="F212">
            <v>77714.647541999992</v>
          </cell>
        </row>
        <row r="213">
          <cell r="B213" t="str">
            <v>22 KV Isolators without EB (800 Amp.)</v>
          </cell>
          <cell r="C213" t="str">
            <v>Set</v>
          </cell>
          <cell r="D213">
            <v>65668.149999999994</v>
          </cell>
          <cell r="E213">
            <v>0</v>
          </cell>
          <cell r="F213">
            <v>65668.149999999994</v>
          </cell>
        </row>
        <row r="214">
          <cell r="B214" t="str">
            <v>33 KV Isolators with EB (800 A)</v>
          </cell>
          <cell r="C214" t="str">
            <v>Set</v>
          </cell>
          <cell r="D214">
            <v>67920.509999999995</v>
          </cell>
          <cell r="E214">
            <v>9794.1375419999986</v>
          </cell>
          <cell r="F214">
            <v>77714.647541999992</v>
          </cell>
        </row>
        <row r="215">
          <cell r="B215" t="str">
            <v>33 KV Isolators without EB (800 Amp.)</v>
          </cell>
          <cell r="C215" t="str">
            <v>Set</v>
          </cell>
          <cell r="D215">
            <v>65668.149999999994</v>
          </cell>
          <cell r="E215">
            <v>0</v>
          </cell>
          <cell r="F215">
            <v>65668.149999999994</v>
          </cell>
        </row>
        <row r="216">
          <cell r="B216" t="str">
            <v>AC Distribution Board 'B' type</v>
          </cell>
          <cell r="C216" t="str">
            <v>No.</v>
          </cell>
          <cell r="D216">
            <v>19878.21</v>
          </cell>
          <cell r="E216">
            <v>2866.4378819999997</v>
          </cell>
          <cell r="F216">
            <v>22744.647881999997</v>
          </cell>
        </row>
        <row r="217">
          <cell r="B217" t="str">
            <v xml:space="preserve">C&amp;R panel for 33 KV for feeder breaker </v>
          </cell>
          <cell r="C217" t="str">
            <v>Set</v>
          </cell>
          <cell r="D217">
            <v>94723.29</v>
          </cell>
          <cell r="E217">
            <v>13659.098417999998</v>
          </cell>
          <cell r="F217">
            <v>108382.38841799999</v>
          </cell>
        </row>
        <row r="218">
          <cell r="B218" t="str">
            <v>C&amp;R panel for 22 KV feeder breaker</v>
          </cell>
          <cell r="C218" t="str">
            <v>Set</v>
          </cell>
          <cell r="D218">
            <v>94723.29</v>
          </cell>
          <cell r="E218">
            <v>13659.098417999998</v>
          </cell>
          <cell r="F218">
            <v>108382.38841799999</v>
          </cell>
        </row>
        <row r="219">
          <cell r="B219" t="str">
            <v>C&amp;R panel for 33 KV Transformer with 1 Amp. Relay</v>
          </cell>
          <cell r="C219" t="str">
            <v>Set</v>
          </cell>
          <cell r="D219">
            <v>64462.95</v>
          </cell>
          <cell r="E219">
            <v>9295.5573899999999</v>
          </cell>
          <cell r="F219">
            <v>73758.507389999999</v>
          </cell>
        </row>
        <row r="220">
          <cell r="B220" t="str">
            <v>C&amp;R panel for 22 KV Transformer with 1 A relay</v>
          </cell>
          <cell r="C220" t="str">
            <v>Set</v>
          </cell>
          <cell r="D220">
            <v>64462.95</v>
          </cell>
          <cell r="E220">
            <v>9295.5573899999999</v>
          </cell>
          <cell r="F220">
            <v>73758.507389999999</v>
          </cell>
        </row>
        <row r="221">
          <cell r="B221" t="str">
            <v>33 KV VCB complete  1600 Amp (O.D.)</v>
          </cell>
          <cell r="C221" t="str">
            <v>No.</v>
          </cell>
          <cell r="D221">
            <v>258165</v>
          </cell>
          <cell r="E221">
            <v>37227.392999999996</v>
          </cell>
          <cell r="F221">
            <v>295392.39299999998</v>
          </cell>
        </row>
        <row r="222">
          <cell r="B222" t="str">
            <v>22 KV VCB complete  1600 Amp (O.D.)</v>
          </cell>
          <cell r="C222" t="str">
            <v>No.</v>
          </cell>
          <cell r="D222">
            <v>233341.75</v>
          </cell>
          <cell r="E222">
            <v>33647.880349999999</v>
          </cell>
          <cell r="F222">
            <v>266989.63034999999</v>
          </cell>
        </row>
        <row r="223">
          <cell r="B223" t="str">
            <v>C&amp;R panel for 33 KV Transformer with Diff. Protection</v>
          </cell>
          <cell r="C223" t="str">
            <v>Set</v>
          </cell>
          <cell r="D223">
            <v>123195.86</v>
          </cell>
          <cell r="E223">
            <v>17764.843012000001</v>
          </cell>
          <cell r="F223">
            <v>140960.70301200001</v>
          </cell>
        </row>
        <row r="224">
          <cell r="B224" t="str">
            <v>C&amp;R panel for 22 KV Transformer with Diff. Protection</v>
          </cell>
          <cell r="C224" t="str">
            <v>Set</v>
          </cell>
          <cell r="D224">
            <v>123195.86</v>
          </cell>
          <cell r="E224">
            <v>17764.843012000001</v>
          </cell>
          <cell r="F224">
            <v>140960.70301200001</v>
          </cell>
        </row>
        <row r="225">
          <cell r="B225" t="str">
            <v>11 kv 250 MVA OD Switchgears comprising of 1 Incomer and 3 single feeder with associated OD panels, Islators, C.T. &amp; P.T. etc.</v>
          </cell>
          <cell r="C225" t="str">
            <v>Set</v>
          </cell>
          <cell r="D225">
            <v>1177848</v>
          </cell>
          <cell r="E225">
            <v>169845.68159999998</v>
          </cell>
          <cell r="F225">
            <v>1347693.6816</v>
          </cell>
        </row>
        <row r="226">
          <cell r="B226" t="str">
            <v>11kV I D switchgear (2 I/c+1 B/c+8O/G)</v>
          </cell>
          <cell r="C226" t="str">
            <v>Set</v>
          </cell>
          <cell r="D226">
            <v>4291706.16</v>
          </cell>
          <cell r="E226">
            <v>618864.02827200003</v>
          </cell>
          <cell r="F226">
            <v>4910570.1882720003</v>
          </cell>
        </row>
        <row r="227">
          <cell r="B227" t="str">
            <v>11kV I D switchgear (2 I/c+1 B/c+8O/G)</v>
          </cell>
          <cell r="C227" t="str">
            <v>Set</v>
          </cell>
          <cell r="D227">
            <v>0</v>
          </cell>
          <cell r="E227">
            <v>0</v>
          </cell>
          <cell r="F227">
            <v>0</v>
          </cell>
        </row>
        <row r="228">
          <cell r="B228" t="str">
            <v>33 KV P.T.</v>
          </cell>
          <cell r="C228" t="str">
            <v>No.</v>
          </cell>
          <cell r="D228">
            <v>16251.91</v>
          </cell>
          <cell r="E228">
            <v>2343.5254219999997</v>
          </cell>
          <cell r="F228">
            <v>18595.435421999999</v>
          </cell>
        </row>
        <row r="229">
          <cell r="B229" t="str">
            <v>22 KV P.T.</v>
          </cell>
          <cell r="C229" t="str">
            <v>No.</v>
          </cell>
          <cell r="D229">
            <v>16252.91</v>
          </cell>
          <cell r="E229">
            <v>2343.6696219999999</v>
          </cell>
          <cell r="F229">
            <v>18596.579622000001</v>
          </cell>
        </row>
        <row r="230">
          <cell r="B230" t="str">
            <v>33 kV C. T. (400-200/1-1-1)</v>
          </cell>
          <cell r="C230">
            <v>0</v>
          </cell>
          <cell r="D230">
            <v>22904.639999999999</v>
          </cell>
          <cell r="E230">
            <v>0</v>
          </cell>
          <cell r="F230">
            <v>22904.639999999999</v>
          </cell>
        </row>
        <row r="231">
          <cell r="B231" t="str">
            <v>22 KV C.T. Three core.</v>
          </cell>
          <cell r="C231" t="str">
            <v>No.</v>
          </cell>
          <cell r="D231">
            <v>22904.639999999999</v>
          </cell>
          <cell r="E231">
            <v>0</v>
          </cell>
          <cell r="F231">
            <v>22904.639999999999</v>
          </cell>
        </row>
        <row r="232">
          <cell r="B232" t="str">
            <v>30 V, 100 AH Lead Acid Battery  sets</v>
          </cell>
          <cell r="C232" t="str">
            <v>Sets</v>
          </cell>
          <cell r="D232">
            <v>15299.04</v>
          </cell>
          <cell r="E232">
            <v>0</v>
          </cell>
          <cell r="F232">
            <v>15299.04</v>
          </cell>
        </row>
        <row r="233">
          <cell r="B233" t="str">
            <v>Battery chargers suitable  for above</v>
          </cell>
          <cell r="C233" t="str">
            <v>No.</v>
          </cell>
          <cell r="D233">
            <v>24366.89</v>
          </cell>
          <cell r="E233">
            <v>0</v>
          </cell>
          <cell r="F233">
            <v>24366.89</v>
          </cell>
        </row>
        <row r="234">
          <cell r="B234" t="str">
            <v>Battery set 30 Volt, 100 AH with Battery charger</v>
          </cell>
          <cell r="C234" t="str">
            <v>Set</v>
          </cell>
          <cell r="D234">
            <v>39665.93</v>
          </cell>
          <cell r="E234">
            <v>0</v>
          </cell>
          <cell r="F234">
            <v>39665.93</v>
          </cell>
        </row>
        <row r="235">
          <cell r="B235" t="str">
            <v>33 KV Lightning Arrestors  (Station type)</v>
          </cell>
          <cell r="C235" t="str">
            <v>Set</v>
          </cell>
          <cell r="D235">
            <v>11633.16</v>
          </cell>
          <cell r="E235">
            <v>1677.5016719999999</v>
          </cell>
          <cell r="F235">
            <v>13310.661672</v>
          </cell>
        </row>
        <row r="236">
          <cell r="B236" t="str">
            <v>22 KV Lightning Arrestors  (Station type)</v>
          </cell>
          <cell r="C236" t="str">
            <v>set</v>
          </cell>
          <cell r="D236">
            <v>10263.119999999999</v>
          </cell>
          <cell r="E236">
            <v>1479.9419039999998</v>
          </cell>
          <cell r="F236">
            <v>13310.66</v>
          </cell>
        </row>
        <row r="237">
          <cell r="B237" t="str">
            <v>Power Transformer 33/11 KV, 5 MVA</v>
          </cell>
          <cell r="C237" t="str">
            <v>No.</v>
          </cell>
          <cell r="D237">
            <v>2852150</v>
          </cell>
          <cell r="E237">
            <v>411280.02999999997</v>
          </cell>
          <cell r="F237">
            <v>3263430.03</v>
          </cell>
        </row>
        <row r="238">
          <cell r="B238" t="str">
            <v xml:space="preserve">Power Transformer 33/11 KV, 10 MVA </v>
          </cell>
          <cell r="C238" t="str">
            <v>No.</v>
          </cell>
          <cell r="D238">
            <v>5424685</v>
          </cell>
          <cell r="E238">
            <v>782239.57699999993</v>
          </cell>
          <cell r="F238">
            <v>6206924.5769999996</v>
          </cell>
        </row>
      </sheetData>
      <sheetData sheetId="11"/>
      <sheetData sheetId="12">
        <row r="58">
          <cell r="F58">
            <v>12968569.363851115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5">
          <cell r="B5" t="str">
            <v>33 kV Pin Insulators with G.I. Pins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5">
          <cell r="B5" t="str">
            <v>33 kV Pin Insulators with G.I. Pins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ra I LAS"/>
      <sheetName val="abstract IP_I"/>
      <sheetName val="New S-Stn new"/>
      <sheetName val="Infra II LAS"/>
      <sheetName val="abstract IP_II"/>
      <sheetName val="Infra II A LAS"/>
      <sheetName val="abstract IP_IIA"/>
      <sheetName val="data usm"/>
      <sheetName val="IP II A Version_III"/>
      <sheetName val="Master data"/>
      <sheetName val="Names of Dns"/>
      <sheetName val="Details Contractors"/>
      <sheetName val="Districtwise(T)"/>
      <sheetName val="Districtwise (A)"/>
      <sheetName val="Sheet1"/>
      <sheetName val="Loan sanction details"/>
      <sheetName val="NITs"/>
      <sheetName val="Infra Staus"/>
      <sheetName val="Division-wise Cost"/>
      <sheetName val="Sheet2"/>
      <sheetName val="Sheet4"/>
      <sheetName val="Sheet5"/>
      <sheetName val="Districtwi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Achalpur</v>
          </cell>
          <cell r="D1">
            <v>29</v>
          </cell>
          <cell r="E1" t="str">
            <v>Amravati</v>
          </cell>
          <cell r="F1" t="str">
            <v>Amaravati</v>
          </cell>
        </row>
        <row r="2">
          <cell r="C2" t="str">
            <v>Akola r</v>
          </cell>
          <cell r="D2">
            <v>28</v>
          </cell>
          <cell r="E2" t="str">
            <v>Amravati</v>
          </cell>
          <cell r="F2" t="str">
            <v>Akola</v>
          </cell>
        </row>
        <row r="3">
          <cell r="C3" t="str">
            <v>Amravati r</v>
          </cell>
          <cell r="D3">
            <v>30</v>
          </cell>
          <cell r="E3" t="str">
            <v>Amravati</v>
          </cell>
          <cell r="F3" t="str">
            <v>Amaravati</v>
          </cell>
        </row>
        <row r="4">
          <cell r="C4" t="str">
            <v>Amravati u</v>
          </cell>
          <cell r="D4">
            <v>30</v>
          </cell>
          <cell r="E4" t="str">
            <v>Amravati</v>
          </cell>
          <cell r="F4" t="str">
            <v>Amaravati</v>
          </cell>
        </row>
        <row r="5">
          <cell r="C5" t="str">
            <v>Arvi</v>
          </cell>
          <cell r="D5">
            <v>49</v>
          </cell>
          <cell r="E5" t="str">
            <v>Nagpur</v>
          </cell>
          <cell r="F5" t="str">
            <v>Wardha</v>
          </cell>
        </row>
        <row r="6">
          <cell r="C6" t="str">
            <v>Ballarsha</v>
          </cell>
          <cell r="D6">
            <v>47</v>
          </cell>
          <cell r="E6" t="str">
            <v>Nagpur</v>
          </cell>
          <cell r="F6" t="str">
            <v>Chandrapur</v>
          </cell>
        </row>
        <row r="7">
          <cell r="C7" t="str">
            <v>Barshi</v>
          </cell>
          <cell r="D7">
            <v>26</v>
          </cell>
          <cell r="E7" t="str">
            <v>Kolhapur</v>
          </cell>
          <cell r="F7" t="str">
            <v>Solapur</v>
          </cell>
        </row>
        <row r="8">
          <cell r="C8" t="str">
            <v>Bhandara</v>
          </cell>
          <cell r="D8">
            <v>46</v>
          </cell>
          <cell r="E8" t="str">
            <v>Nagpur</v>
          </cell>
          <cell r="F8" t="str">
            <v>Bhandara</v>
          </cell>
        </row>
        <row r="9">
          <cell r="C9" t="str">
            <v>Bhusawal</v>
          </cell>
          <cell r="D9">
            <v>56</v>
          </cell>
          <cell r="E9" t="str">
            <v>Nashik</v>
          </cell>
          <cell r="F9" t="str">
            <v>Jalgaon</v>
          </cell>
        </row>
        <row r="10">
          <cell r="C10" t="str">
            <v>Buldana</v>
          </cell>
          <cell r="D10">
            <v>32</v>
          </cell>
          <cell r="E10" t="str">
            <v>Amravati</v>
          </cell>
          <cell r="F10" t="str">
            <v>Buldhana</v>
          </cell>
        </row>
        <row r="11">
          <cell r="C11" t="str">
            <v>Chalisgaon</v>
          </cell>
          <cell r="D11">
            <v>57</v>
          </cell>
          <cell r="E11" t="str">
            <v>Nashik</v>
          </cell>
          <cell r="F11" t="str">
            <v>Jalgaon</v>
          </cell>
        </row>
        <row r="12">
          <cell r="C12" t="str">
            <v>Chandrapur</v>
          </cell>
          <cell r="D12">
            <v>47</v>
          </cell>
          <cell r="E12" t="str">
            <v>Nagpur</v>
          </cell>
          <cell r="F12" t="str">
            <v>Chandrapur</v>
          </cell>
        </row>
        <row r="13">
          <cell r="C13" t="str">
            <v>Chandwad</v>
          </cell>
          <cell r="D13">
            <v>62</v>
          </cell>
          <cell r="E13" t="str">
            <v>Nashik</v>
          </cell>
          <cell r="F13" t="str">
            <v>Nashik R</v>
          </cell>
        </row>
        <row r="14">
          <cell r="C14" t="str">
            <v>Chiplun</v>
          </cell>
          <cell r="D14">
            <v>44</v>
          </cell>
          <cell r="E14" t="str">
            <v>Konkan</v>
          </cell>
          <cell r="F14" t="str">
            <v>Ratnagiri</v>
          </cell>
        </row>
        <row r="15">
          <cell r="C15" t="str">
            <v>Congress nagar</v>
          </cell>
          <cell r="D15">
            <v>51</v>
          </cell>
          <cell r="E15" t="str">
            <v>Nagpur (U)</v>
          </cell>
          <cell r="F15" t="str">
            <v>Nagpur U</v>
          </cell>
        </row>
        <row r="16">
          <cell r="C16" t="str">
            <v>Dharangaon</v>
          </cell>
          <cell r="D16">
            <v>59</v>
          </cell>
          <cell r="E16" t="str">
            <v>Nashik</v>
          </cell>
          <cell r="F16" t="str">
            <v>Jalgaon</v>
          </cell>
        </row>
        <row r="17">
          <cell r="C17" t="str">
            <v>Dombivali Urban</v>
          </cell>
          <cell r="D17">
            <v>42</v>
          </cell>
          <cell r="E17" t="str">
            <v>Kalyan</v>
          </cell>
          <cell r="F17" t="str">
            <v>Kalyan- I</v>
          </cell>
        </row>
        <row r="18">
          <cell r="C18" t="str">
            <v>Dondaicha</v>
          </cell>
          <cell r="D18">
            <v>54</v>
          </cell>
          <cell r="E18" t="str">
            <v>Nashik</v>
          </cell>
          <cell r="F18" t="str">
            <v>Dhule</v>
          </cell>
        </row>
        <row r="19">
          <cell r="C19" t="str">
            <v>Gondia</v>
          </cell>
          <cell r="D19">
            <v>46</v>
          </cell>
          <cell r="E19" t="str">
            <v>Nagpur</v>
          </cell>
          <cell r="F19" t="str">
            <v>Bhandara</v>
          </cell>
        </row>
        <row r="20">
          <cell r="C20" t="str">
            <v>Hinganghat</v>
          </cell>
          <cell r="D20">
            <v>49</v>
          </cell>
          <cell r="E20" t="str">
            <v>Nagpur</v>
          </cell>
          <cell r="F20" t="str">
            <v>Wardha</v>
          </cell>
        </row>
        <row r="21">
          <cell r="C21" t="str">
            <v>HINGOLI</v>
          </cell>
          <cell r="D21">
            <v>36</v>
          </cell>
          <cell r="E21" t="str">
            <v>Aurangabad</v>
          </cell>
          <cell r="F21" t="str">
            <v>Parbhani</v>
          </cell>
        </row>
        <row r="22">
          <cell r="C22" t="str">
            <v>Ichalkaranji</v>
          </cell>
          <cell r="D22">
            <v>21</v>
          </cell>
          <cell r="E22" t="str">
            <v>Kolhapur</v>
          </cell>
          <cell r="F22" t="str">
            <v>Kolhapur</v>
          </cell>
        </row>
        <row r="23">
          <cell r="C23" t="str">
            <v>Jalgaon UCR</v>
          </cell>
          <cell r="D23">
            <v>56</v>
          </cell>
          <cell r="E23" t="str">
            <v>Nashik</v>
          </cell>
          <cell r="F23" t="str">
            <v>Jalgaon</v>
          </cell>
        </row>
        <row r="24">
          <cell r="C24" t="str">
            <v>Jalna-I</v>
          </cell>
          <cell r="D24">
            <v>36</v>
          </cell>
          <cell r="E24" t="str">
            <v>Aurangabad</v>
          </cell>
          <cell r="F24" t="str">
            <v>Jalna</v>
          </cell>
        </row>
        <row r="25">
          <cell r="C25" t="str">
            <v>Jaysingpur</v>
          </cell>
          <cell r="D25">
            <v>21</v>
          </cell>
          <cell r="E25" t="str">
            <v>Kolhapur</v>
          </cell>
          <cell r="F25" t="str">
            <v>Kolhapur</v>
          </cell>
        </row>
        <row r="26">
          <cell r="C26" t="str">
            <v>Kalwa</v>
          </cell>
          <cell r="D26">
            <v>73</v>
          </cell>
          <cell r="E26" t="str">
            <v>Bhandup</v>
          </cell>
          <cell r="F26" t="str">
            <v>Thane (Urban)</v>
          </cell>
        </row>
        <row r="27">
          <cell r="C27" t="str">
            <v>Kalyan East</v>
          </cell>
          <cell r="D27">
            <v>42</v>
          </cell>
          <cell r="E27" t="str">
            <v>Kalyan</v>
          </cell>
          <cell r="F27" t="str">
            <v>Kalyan- I</v>
          </cell>
        </row>
        <row r="28">
          <cell r="C28" t="str">
            <v>Kankavali</v>
          </cell>
          <cell r="D28">
            <v>45</v>
          </cell>
          <cell r="E28" t="str">
            <v>Konkan</v>
          </cell>
          <cell r="F28" t="str">
            <v>Sindhudurg</v>
          </cell>
        </row>
        <row r="29">
          <cell r="C29" t="str">
            <v>Karjat</v>
          </cell>
          <cell r="D29">
            <v>52</v>
          </cell>
          <cell r="E29" t="str">
            <v>Nashik</v>
          </cell>
          <cell r="F29" t="str">
            <v>Ahmednagar</v>
          </cell>
        </row>
        <row r="30">
          <cell r="C30" t="str">
            <v>Katol</v>
          </cell>
          <cell r="D30">
            <v>50</v>
          </cell>
          <cell r="E30" t="str">
            <v>Nagpur (U)</v>
          </cell>
          <cell r="F30" t="str">
            <v>Nagpur (R)</v>
          </cell>
        </row>
        <row r="31">
          <cell r="C31" t="str">
            <v>Khamgaon</v>
          </cell>
          <cell r="D31">
            <v>33</v>
          </cell>
          <cell r="E31" t="str">
            <v>Amravati</v>
          </cell>
          <cell r="F31" t="str">
            <v>Buldhana</v>
          </cell>
        </row>
        <row r="32">
          <cell r="C32" t="str">
            <v>Kolhapur (U)</v>
          </cell>
          <cell r="D32">
            <v>20</v>
          </cell>
          <cell r="E32" t="str">
            <v>Kolhapur</v>
          </cell>
          <cell r="F32" t="str">
            <v>Kolhapur</v>
          </cell>
        </row>
        <row r="33">
          <cell r="C33" t="str">
            <v>Kolhapur R-II</v>
          </cell>
          <cell r="D33">
            <v>20</v>
          </cell>
          <cell r="E33" t="str">
            <v>Kolhapur</v>
          </cell>
          <cell r="F33" t="str">
            <v>Kolhapur</v>
          </cell>
        </row>
        <row r="34">
          <cell r="C34" t="str">
            <v>Kudal</v>
          </cell>
          <cell r="D34">
            <v>45</v>
          </cell>
          <cell r="E34" t="str">
            <v>Konkan</v>
          </cell>
          <cell r="F34" t="str">
            <v>Sindhudurg</v>
          </cell>
        </row>
        <row r="35">
          <cell r="C35" t="str">
            <v>Malegaon UCR</v>
          </cell>
          <cell r="D35">
            <v>61</v>
          </cell>
          <cell r="E35" t="str">
            <v>Nashik</v>
          </cell>
          <cell r="F35" t="str">
            <v>Nashik R</v>
          </cell>
        </row>
        <row r="36">
          <cell r="C36" t="str">
            <v>Malegaon-R</v>
          </cell>
          <cell r="D36">
            <v>63</v>
          </cell>
          <cell r="E36" t="str">
            <v>Nashik</v>
          </cell>
          <cell r="F36" t="str">
            <v>Nashik R</v>
          </cell>
        </row>
        <row r="37">
          <cell r="C37" t="str">
            <v>Malkapur</v>
          </cell>
          <cell r="D37">
            <v>34</v>
          </cell>
          <cell r="E37" t="str">
            <v>Amravati</v>
          </cell>
          <cell r="F37" t="str">
            <v>Buldhana</v>
          </cell>
        </row>
        <row r="38">
          <cell r="C38" t="str">
            <v>MIDC</v>
          </cell>
          <cell r="D38">
            <v>51</v>
          </cell>
          <cell r="E38" t="str">
            <v>Nagpur (U)</v>
          </cell>
          <cell r="F38" t="str">
            <v>Nagpur U</v>
          </cell>
        </row>
        <row r="39">
          <cell r="C39" t="str">
            <v>Morshi</v>
          </cell>
          <cell r="D39">
            <v>31</v>
          </cell>
          <cell r="E39" t="str">
            <v>Amravati</v>
          </cell>
          <cell r="F39" t="str">
            <v>Amaravati</v>
          </cell>
        </row>
        <row r="40">
          <cell r="C40" t="str">
            <v>Mulshi (Pune)</v>
          </cell>
          <cell r="D40">
            <v>68</v>
          </cell>
          <cell r="E40" t="str">
            <v>Pune</v>
          </cell>
          <cell r="F40" t="str">
            <v>Pune (R)</v>
          </cell>
        </row>
        <row r="41">
          <cell r="C41" t="str">
            <v>Nagar road</v>
          </cell>
          <cell r="D41">
            <v>69</v>
          </cell>
          <cell r="E41" t="str">
            <v>Pune</v>
          </cell>
          <cell r="F41" t="str">
            <v>Rastapeth</v>
          </cell>
        </row>
        <row r="42">
          <cell r="C42" t="str">
            <v>Nagpur I</v>
          </cell>
          <cell r="D42">
            <v>50</v>
          </cell>
          <cell r="E42" t="str">
            <v>Nagpur (U)</v>
          </cell>
          <cell r="F42" t="str">
            <v>Nagpur (R)</v>
          </cell>
        </row>
        <row r="43">
          <cell r="C43" t="str">
            <v>Nashik -U-II</v>
          </cell>
          <cell r="D43">
            <v>60</v>
          </cell>
          <cell r="E43" t="str">
            <v>Nashik</v>
          </cell>
          <cell r="F43" t="str">
            <v>Nashik Urban</v>
          </cell>
        </row>
        <row r="44">
          <cell r="C44" t="str">
            <v>NASHIK-R</v>
          </cell>
          <cell r="D44">
            <v>64</v>
          </cell>
          <cell r="E44" t="str">
            <v>Nashik</v>
          </cell>
          <cell r="F44" t="str">
            <v>Nashik R</v>
          </cell>
        </row>
        <row r="45">
          <cell r="C45" t="str">
            <v>Nashik-U-I</v>
          </cell>
          <cell r="D45">
            <v>66</v>
          </cell>
          <cell r="E45" t="str">
            <v>Nashik</v>
          </cell>
          <cell r="F45" t="str">
            <v>Nashik Urban</v>
          </cell>
        </row>
        <row r="46">
          <cell r="C46" t="str">
            <v>Pachora</v>
          </cell>
          <cell r="D46">
            <v>58</v>
          </cell>
          <cell r="E46" t="str">
            <v>Nashik</v>
          </cell>
          <cell r="F46" t="str">
            <v>Jalgaon</v>
          </cell>
        </row>
        <row r="47">
          <cell r="C47" t="str">
            <v>Pandharkawada</v>
          </cell>
          <cell r="D47">
            <v>35</v>
          </cell>
          <cell r="E47" t="str">
            <v>Amravati</v>
          </cell>
          <cell r="F47" t="str">
            <v>Yavatmal</v>
          </cell>
        </row>
        <row r="48">
          <cell r="C48" t="str">
            <v>Pandharpur</v>
          </cell>
          <cell r="D48">
            <v>24</v>
          </cell>
          <cell r="E48" t="str">
            <v>Kolhapur</v>
          </cell>
          <cell r="F48" t="str">
            <v>Solapur</v>
          </cell>
        </row>
        <row r="49">
          <cell r="C49" t="str">
            <v>Parbhani</v>
          </cell>
          <cell r="D49">
            <v>36</v>
          </cell>
          <cell r="E49" t="str">
            <v>Aurangabad</v>
          </cell>
          <cell r="F49" t="str">
            <v>Parbhani</v>
          </cell>
        </row>
        <row r="50">
          <cell r="C50" t="str">
            <v>Pimpri</v>
          </cell>
          <cell r="D50">
            <v>67</v>
          </cell>
          <cell r="E50" t="str">
            <v>Pune</v>
          </cell>
          <cell r="F50" t="str">
            <v>Ganeshkhind</v>
          </cell>
        </row>
        <row r="51">
          <cell r="C51" t="str">
            <v>Pusad</v>
          </cell>
          <cell r="D51">
            <v>35</v>
          </cell>
          <cell r="E51" t="str">
            <v>Amravati</v>
          </cell>
          <cell r="F51" t="str">
            <v>Yavatmal</v>
          </cell>
        </row>
        <row r="52">
          <cell r="C52" t="str">
            <v>Rajgurunagar</v>
          </cell>
          <cell r="D52">
            <v>68</v>
          </cell>
          <cell r="E52" t="str">
            <v>Pune</v>
          </cell>
          <cell r="F52" t="str">
            <v>Pune (R)</v>
          </cell>
        </row>
        <row r="53">
          <cell r="C53" t="str">
            <v>Rastapeth</v>
          </cell>
          <cell r="D53">
            <v>69</v>
          </cell>
          <cell r="E53" t="str">
            <v>Pune</v>
          </cell>
          <cell r="F53" t="str">
            <v>Rastapeth</v>
          </cell>
        </row>
        <row r="54">
          <cell r="C54" t="str">
            <v>Ratnagiri</v>
          </cell>
          <cell r="D54">
            <v>44</v>
          </cell>
          <cell r="E54" t="str">
            <v>Konkan</v>
          </cell>
          <cell r="F54" t="str">
            <v>Ratnagiri</v>
          </cell>
        </row>
        <row r="55">
          <cell r="C55" t="str">
            <v>Savda</v>
          </cell>
          <cell r="D55">
            <v>58</v>
          </cell>
          <cell r="E55" t="str">
            <v>Nashik</v>
          </cell>
          <cell r="F55" t="str">
            <v>Jalgaon</v>
          </cell>
        </row>
        <row r="56">
          <cell r="C56" t="str">
            <v>Shahada</v>
          </cell>
          <cell r="D56">
            <v>65</v>
          </cell>
          <cell r="E56" t="str">
            <v>Nashik</v>
          </cell>
          <cell r="F56" t="str">
            <v>Dhule</v>
          </cell>
        </row>
        <row r="57">
          <cell r="C57" t="str">
            <v>Shivaji Nagar</v>
          </cell>
          <cell r="D57">
            <v>67</v>
          </cell>
          <cell r="E57" t="str">
            <v>Pune</v>
          </cell>
          <cell r="F57" t="str">
            <v>Ganeshkhind</v>
          </cell>
        </row>
        <row r="58">
          <cell r="C58" t="str">
            <v>Vita</v>
          </cell>
          <cell r="D58">
            <v>27</v>
          </cell>
          <cell r="E58" t="str">
            <v>Kolhapur</v>
          </cell>
          <cell r="F58" t="str">
            <v>Sangli</v>
          </cell>
        </row>
        <row r="59">
          <cell r="C59" t="str">
            <v>Wardha</v>
          </cell>
          <cell r="D59">
            <v>49</v>
          </cell>
          <cell r="E59" t="str">
            <v>Nagpur</v>
          </cell>
          <cell r="F59" t="str">
            <v>Wardha</v>
          </cell>
        </row>
        <row r="60">
          <cell r="C60" t="str">
            <v>Warora</v>
          </cell>
          <cell r="D60">
            <v>47</v>
          </cell>
          <cell r="E60" t="str">
            <v>Nagpur</v>
          </cell>
          <cell r="F60" t="str">
            <v>Chandrapur</v>
          </cell>
        </row>
        <row r="61">
          <cell r="C61" t="str">
            <v>Washim</v>
          </cell>
          <cell r="D61">
            <v>28</v>
          </cell>
          <cell r="E61" t="str">
            <v>Amravati</v>
          </cell>
          <cell r="F61" t="str">
            <v>Akola</v>
          </cell>
        </row>
        <row r="62">
          <cell r="C62" t="str">
            <v>Yavatmal</v>
          </cell>
          <cell r="D62">
            <v>35</v>
          </cell>
          <cell r="E62" t="str">
            <v>Amravati</v>
          </cell>
          <cell r="F62" t="str">
            <v>Yavatmal</v>
          </cell>
        </row>
        <row r="63">
          <cell r="C63" t="str">
            <v>Ahmednagar R</v>
          </cell>
          <cell r="D63">
            <v>97</v>
          </cell>
          <cell r="E63" t="str">
            <v>Nashik</v>
          </cell>
          <cell r="F63" t="str">
            <v>Ahmednagar</v>
          </cell>
        </row>
        <row r="64">
          <cell r="C64" t="str">
            <v>Ahmednagar UCR</v>
          </cell>
          <cell r="D64">
            <v>98</v>
          </cell>
          <cell r="E64" t="str">
            <v>Nashik</v>
          </cell>
          <cell r="F64" t="str">
            <v>Ahmednagar</v>
          </cell>
        </row>
        <row r="65">
          <cell r="C65" t="str">
            <v>Akluj</v>
          </cell>
          <cell r="D65">
            <v>91</v>
          </cell>
          <cell r="E65" t="str">
            <v>Kolhapur</v>
          </cell>
          <cell r="F65" t="str">
            <v>Solapur</v>
          </cell>
        </row>
        <row r="66">
          <cell r="C66" t="str">
            <v>Akola ('u)</v>
          </cell>
          <cell r="D66">
            <v>71</v>
          </cell>
          <cell r="E66" t="str">
            <v>Amravati</v>
          </cell>
          <cell r="F66" t="str">
            <v>Akola</v>
          </cell>
        </row>
        <row r="67">
          <cell r="C67" t="str">
            <v>Allapali</v>
          </cell>
          <cell r="D67">
            <v>96</v>
          </cell>
          <cell r="E67" t="str">
            <v>Nagpur</v>
          </cell>
          <cell r="F67" t="str">
            <v>Gadchiroli</v>
          </cell>
        </row>
        <row r="68">
          <cell r="C68" t="str">
            <v>Ambajogai</v>
          </cell>
          <cell r="D68">
            <v>92</v>
          </cell>
          <cell r="E68" t="str">
            <v>Latur</v>
          </cell>
          <cell r="F68" t="str">
            <v>Beed</v>
          </cell>
        </row>
        <row r="69">
          <cell r="C69" t="str">
            <v>Aurangabad-II</v>
          </cell>
          <cell r="D69">
            <v>72</v>
          </cell>
          <cell r="E69" t="str">
            <v>Aurangabad</v>
          </cell>
          <cell r="F69" t="str">
            <v>Aurangabad (U)</v>
          </cell>
        </row>
        <row r="70">
          <cell r="C70" t="str">
            <v>Beed</v>
          </cell>
          <cell r="D70">
            <v>93</v>
          </cell>
          <cell r="E70" t="str">
            <v>Latur</v>
          </cell>
          <cell r="F70" t="str">
            <v>Beed</v>
          </cell>
        </row>
        <row r="71">
          <cell r="C71" t="str">
            <v>Degloor</v>
          </cell>
          <cell r="D71">
            <v>94</v>
          </cell>
          <cell r="E71" t="str">
            <v>Latur</v>
          </cell>
          <cell r="F71" t="str">
            <v>Nanded</v>
          </cell>
        </row>
        <row r="72">
          <cell r="C72" t="str">
            <v>Dhule - R</v>
          </cell>
          <cell r="D72">
            <v>99</v>
          </cell>
          <cell r="E72" t="str">
            <v>Nashik</v>
          </cell>
          <cell r="F72" t="str">
            <v>Dhule</v>
          </cell>
        </row>
        <row r="73">
          <cell r="C73" t="str">
            <v>Dhule UCR</v>
          </cell>
          <cell r="D73">
            <v>100</v>
          </cell>
          <cell r="E73" t="str">
            <v>Nashik</v>
          </cell>
          <cell r="F73" t="str">
            <v>Dhule</v>
          </cell>
        </row>
        <row r="74">
          <cell r="C74" t="str">
            <v>Gadchiroli</v>
          </cell>
          <cell r="D74">
            <v>96</v>
          </cell>
          <cell r="E74" t="str">
            <v>Nagpur</v>
          </cell>
          <cell r="F74" t="str">
            <v>Gadchiroli</v>
          </cell>
        </row>
        <row r="75">
          <cell r="C75" t="str">
            <v>Islampur</v>
          </cell>
          <cell r="D75">
            <v>84</v>
          </cell>
          <cell r="E75" t="str">
            <v>Kolhapur</v>
          </cell>
          <cell r="F75" t="str">
            <v>Sangli</v>
          </cell>
        </row>
        <row r="76">
          <cell r="C76" t="str">
            <v>Kalyan Rural</v>
          </cell>
          <cell r="D76">
            <v>79</v>
          </cell>
          <cell r="E76" t="str">
            <v>Kalyan</v>
          </cell>
          <cell r="F76" t="str">
            <v>Kalyan- II</v>
          </cell>
        </row>
        <row r="77">
          <cell r="C77" t="str">
            <v>Karad</v>
          </cell>
          <cell r="D77">
            <v>87</v>
          </cell>
          <cell r="E77" t="str">
            <v>Kolhapur</v>
          </cell>
          <cell r="F77" t="str">
            <v>Satara</v>
          </cell>
        </row>
        <row r="78">
          <cell r="C78" t="str">
            <v>Nandurbar</v>
          </cell>
          <cell r="D78">
            <v>101</v>
          </cell>
          <cell r="E78" t="str">
            <v>Nashik</v>
          </cell>
          <cell r="F78" t="str">
            <v>Dhule</v>
          </cell>
        </row>
        <row r="79">
          <cell r="C79" t="str">
            <v>Nerul</v>
          </cell>
          <cell r="D79">
            <v>76</v>
          </cell>
          <cell r="E79" t="str">
            <v>Bhandup</v>
          </cell>
          <cell r="F79" t="str">
            <v>Vashi</v>
          </cell>
        </row>
        <row r="80">
          <cell r="C80" t="str">
            <v>Padmavati</v>
          </cell>
          <cell r="D80">
            <v>102</v>
          </cell>
          <cell r="E80" t="str">
            <v>Pune</v>
          </cell>
          <cell r="F80" t="str">
            <v>Rastapeth</v>
          </cell>
        </row>
        <row r="81">
          <cell r="C81" t="str">
            <v xml:space="preserve">Palghar </v>
          </cell>
          <cell r="D81">
            <v>81</v>
          </cell>
          <cell r="E81" t="str">
            <v>Kalyan</v>
          </cell>
          <cell r="F81" t="str">
            <v>Vasai</v>
          </cell>
        </row>
        <row r="82">
          <cell r="C82" t="str">
            <v>Panvel (U)</v>
          </cell>
          <cell r="D82">
            <v>77</v>
          </cell>
          <cell r="E82" t="str">
            <v>Bhandup</v>
          </cell>
          <cell r="F82" t="str">
            <v>Vashi</v>
          </cell>
        </row>
        <row r="83">
          <cell r="C83" t="str">
            <v>Parvati</v>
          </cell>
          <cell r="D83">
            <v>103</v>
          </cell>
          <cell r="E83" t="str">
            <v>Pune</v>
          </cell>
          <cell r="F83" t="str">
            <v>Rastapeth</v>
          </cell>
        </row>
        <row r="84">
          <cell r="C84" t="str">
            <v>Phaltan</v>
          </cell>
          <cell r="D84">
            <v>88</v>
          </cell>
          <cell r="E84" t="str">
            <v>Kolhapur</v>
          </cell>
          <cell r="F84" t="str">
            <v>Satara</v>
          </cell>
        </row>
        <row r="85">
          <cell r="C85" t="str">
            <v>Sangli (U)</v>
          </cell>
          <cell r="D85">
            <v>85</v>
          </cell>
          <cell r="E85" t="str">
            <v>Kolhapur</v>
          </cell>
          <cell r="F85" t="str">
            <v>Sangli</v>
          </cell>
        </row>
        <row r="86">
          <cell r="C86" t="str">
            <v>Sangli-R</v>
          </cell>
          <cell r="D86">
            <v>86</v>
          </cell>
          <cell r="E86" t="str">
            <v>Kolhapur</v>
          </cell>
          <cell r="F86" t="str">
            <v>Sangli</v>
          </cell>
        </row>
        <row r="87">
          <cell r="C87" t="str">
            <v>Satara</v>
          </cell>
          <cell r="D87">
            <v>89</v>
          </cell>
          <cell r="E87" t="str">
            <v>Kolhapur</v>
          </cell>
          <cell r="F87" t="str">
            <v>Satara</v>
          </cell>
        </row>
        <row r="88">
          <cell r="C88" t="str">
            <v>Thane</v>
          </cell>
          <cell r="D88">
            <v>74</v>
          </cell>
          <cell r="E88" t="str">
            <v>Bhandup</v>
          </cell>
          <cell r="F88" t="str">
            <v>Thane (Urban)</v>
          </cell>
        </row>
        <row r="89">
          <cell r="C89" t="str">
            <v>Tuljapur</v>
          </cell>
          <cell r="D89">
            <v>95</v>
          </cell>
          <cell r="E89" t="str">
            <v>Latur</v>
          </cell>
          <cell r="F89" t="str">
            <v>Osmanabad</v>
          </cell>
        </row>
        <row r="90">
          <cell r="C90" t="str">
            <v xml:space="preserve">Ulhasnagar -I </v>
          </cell>
          <cell r="D90">
            <v>80</v>
          </cell>
          <cell r="E90" t="str">
            <v>Kalyan</v>
          </cell>
          <cell r="F90" t="str">
            <v>Kalyan- II</v>
          </cell>
        </row>
        <row r="91">
          <cell r="C91" t="str">
            <v>Ulhasnagar -II</v>
          </cell>
          <cell r="D91">
            <v>80</v>
          </cell>
          <cell r="E91" t="str">
            <v>Kalyan</v>
          </cell>
          <cell r="F91" t="str">
            <v>Kalyan- II</v>
          </cell>
        </row>
        <row r="92">
          <cell r="C92" t="str">
            <v>Vasai</v>
          </cell>
          <cell r="D92">
            <v>82</v>
          </cell>
          <cell r="E92" t="str">
            <v>Kalyan</v>
          </cell>
          <cell r="F92" t="str">
            <v>Vasai</v>
          </cell>
        </row>
        <row r="93">
          <cell r="C93" t="str">
            <v>Vashi</v>
          </cell>
          <cell r="D93">
            <v>78</v>
          </cell>
          <cell r="E93" t="str">
            <v>Bhandup</v>
          </cell>
          <cell r="F93" t="str">
            <v>Vashi</v>
          </cell>
        </row>
        <row r="94">
          <cell r="C94" t="str">
            <v>Virar</v>
          </cell>
          <cell r="D94">
            <v>83</v>
          </cell>
          <cell r="E94" t="str">
            <v>Kalyan</v>
          </cell>
          <cell r="F94" t="str">
            <v>Vasai</v>
          </cell>
        </row>
        <row r="95">
          <cell r="C95" t="str">
            <v>Wagle Estate</v>
          </cell>
          <cell r="D95">
            <v>75</v>
          </cell>
          <cell r="E95" t="str">
            <v>Bhandup</v>
          </cell>
          <cell r="F95" t="str">
            <v>Thane (Urban)</v>
          </cell>
        </row>
        <row r="96">
          <cell r="C96" t="str">
            <v>Wai</v>
          </cell>
          <cell r="D96">
            <v>90</v>
          </cell>
          <cell r="E96" t="str">
            <v>Kolhapur</v>
          </cell>
          <cell r="F96" t="str">
            <v>Satara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"/>
      <sheetName val="Reports"/>
      <sheetName val="INSPN"/>
      <sheetName val="MRA"/>
      <sheetName val="GIR"/>
      <sheetName val="TRO_Note"/>
      <sheetName val="TRO"/>
      <sheetName val="Indent"/>
      <sheetName val="Iss-Reg"/>
      <sheetName val="Masters"/>
      <sheetName val="Return"/>
      <sheetName val="Retd.Reg"/>
      <sheetName val="Rejn.Note"/>
      <sheetName val="Rejn.Reg"/>
      <sheetName val="Consn.Note"/>
      <sheetName val="Consn.Reg"/>
      <sheetName val="Reco"/>
      <sheetName val="Daily_Stock"/>
      <sheetName val="Assets"/>
      <sheetName val="ImportDataTemp"/>
      <sheetName val="StockRegister"/>
      <sheetName val="ReportTemp"/>
      <sheetName val="INSPNRpt"/>
      <sheetName val="Rejection Backup"/>
      <sheetName val="Version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6">
          <cell r="B36" t="str">
            <v>MSEDCL-Infra-Phase-I Shewalwadi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BOM"/>
      <sheetName val="QCS"/>
      <sheetName val="Summary"/>
    </sheetNames>
    <sheetDataSet>
      <sheetData sheetId="0" refreshError="1">
        <row r="2">
          <cell r="A2" t="str">
            <v>8M V-ARM SET (620/P1/TG GA-5)</v>
          </cell>
          <cell r="B2">
            <v>0</v>
          </cell>
        </row>
        <row r="3">
          <cell r="A3" t="str">
            <v>8M PGR (620/P1/PGR GA)</v>
          </cell>
          <cell r="B3">
            <v>0</v>
          </cell>
        </row>
        <row r="4">
          <cell r="A4" t="str">
            <v>9M PGR (620/P1/PGR GA)</v>
          </cell>
          <cell r="B4">
            <v>0</v>
          </cell>
        </row>
        <row r="5">
          <cell r="A5" t="str">
            <v>9M &amp; 11M DOUBLE POLE STRU                      (620/P6/DP GA)</v>
          </cell>
          <cell r="B5">
            <v>0</v>
          </cell>
        </row>
        <row r="6">
          <cell r="A6" t="str">
            <v>13M DOUBLE POLE STRU. (620/P7/DP GA)</v>
          </cell>
          <cell r="B6">
            <v>0</v>
          </cell>
        </row>
        <row r="7">
          <cell r="A7" t="str">
            <v>9M,11M DOUBLE POLE GUARDING                       (620/P6-DP-PG GA)</v>
          </cell>
          <cell r="B7">
            <v>0</v>
          </cell>
        </row>
        <row r="8">
          <cell r="A8" t="str">
            <v>13M DOUBLE POLE GUARDING                       (620/P6-DP-PG GA)</v>
          </cell>
          <cell r="B8">
            <v>0</v>
          </cell>
        </row>
        <row r="9">
          <cell r="A9" t="str">
            <v>9M CUT POINT STRU. (620/P6/TS GA)</v>
          </cell>
          <cell r="B9">
            <v>0</v>
          </cell>
        </row>
        <row r="10">
          <cell r="A10" t="str">
            <v>LT LINE ON 8M (620/P1/LT GA)</v>
          </cell>
          <cell r="B10">
            <v>0</v>
          </cell>
        </row>
        <row r="11">
          <cell r="A11" t="str">
            <v>9M DT STRU. (620/P6/DT GA)</v>
          </cell>
          <cell r="B11">
            <v>0</v>
          </cell>
        </row>
        <row r="12">
          <cell r="A12" t="str">
            <v>9M CT STRU. (620/P6/CT GA)</v>
          </cell>
          <cell r="B12">
            <v>0</v>
          </cell>
        </row>
        <row r="13">
          <cell r="A13" t="str">
            <v>22KV 9M V-ARM SET (620/P2/TG GA)</v>
          </cell>
          <cell r="B13">
            <v>0</v>
          </cell>
        </row>
        <row r="14">
          <cell r="A14" t="str">
            <v>22KV 9M CUT POINT STRU. (620/P6/22-TS GA)</v>
          </cell>
          <cell r="B14">
            <v>0</v>
          </cell>
        </row>
        <row r="17">
          <cell r="B17" t="str">
            <v>GRAND TOTAL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QTY"/>
      <sheetName val="wt"/>
      <sheetName val="Table10"/>
      <sheetName val="Table11"/>
      <sheetName val="Table12"/>
      <sheetName val="Table9"/>
      <sheetName val="EDWise"/>
      <sheetName val="DRG-SUB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F"/>
      <sheetName val="RA-Activity"/>
      <sheetName val="30% RBPL Ltr"/>
      <sheetName val="Tax Inv."/>
      <sheetName val="IPC - 90Civil"/>
      <sheetName val="IPLD"/>
      <sheetName val="30% PCS1"/>
      <sheetName val="30% PCS3"/>
      <sheetName val="90% Cost of Civill"/>
      <sheetName val="103A Summary"/>
      <sheetName val="103A Civil Table"/>
      <sheetName val="601 Summary"/>
      <sheetName val="601 Civil Table"/>
      <sheetName val="ERP Consold"/>
      <sheetName val="Sheet2"/>
      <sheetName val="104D Summary"/>
      <sheetName val="104D Civil Table"/>
    </sheetNames>
    <sheetDataSet>
      <sheetData sheetId="0">
        <row r="10">
          <cell r="C10" t="str">
            <v>IPC/RBPL/Amaravati/13B-Civil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R4">
            <v>3527986.5290000006</v>
          </cell>
        </row>
      </sheetData>
      <sheetData sheetId="11">
        <row r="16">
          <cell r="M16">
            <v>47678.301968247179</v>
          </cell>
        </row>
      </sheetData>
      <sheetData sheetId="12"/>
      <sheetData sheetId="13">
        <row r="1">
          <cell r="V1">
            <v>-319991.63000000268</v>
          </cell>
        </row>
      </sheetData>
      <sheetData sheetId="14"/>
      <sheetData sheetId="15"/>
      <sheetData sheetId="1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wt"/>
      <sheetName val="qc1"/>
      <sheetName val="qc2"/>
      <sheetName val="qc3"/>
      <sheetName val="qc4"/>
      <sheetName val="qc5"/>
      <sheetName val="qc6"/>
      <sheetName val="qc7"/>
      <sheetName val="QC-10"/>
      <sheetName val="Sheet1"/>
      <sheetName val="Sheet2"/>
      <sheetName val="Sheet3"/>
      <sheetName val="A"/>
      <sheetName val="Data 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7"/>
  <sheetViews>
    <sheetView view="pageBreakPreview" topLeftCell="A4" zoomScaleNormal="100" zoomScaleSheetLayoutView="100" workbookViewId="0">
      <pane xSplit="2" ySplit="3" topLeftCell="C61" activePane="bottomRight" state="frozen"/>
      <selection activeCell="A4" sqref="A4"/>
      <selection pane="topRight" activeCell="C4" sqref="C4"/>
      <selection pane="bottomLeft" activeCell="A7" sqref="A7"/>
      <selection pane="bottomRight" activeCell="B69" sqref="B69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4.42578125" style="1" customWidth="1"/>
    <col min="4" max="4" width="33.5703125" style="1" customWidth="1"/>
    <col min="5" max="5" width="28" style="1" bestFit="1" customWidth="1"/>
    <col min="6" max="6" width="10.140625" style="1" customWidth="1"/>
    <col min="7" max="7" width="10.7109375" style="1" customWidth="1"/>
    <col min="8" max="8" width="25.28515625" style="1" bestFit="1" customWidth="1"/>
    <col min="9" max="9" width="13.140625" style="1" customWidth="1"/>
    <col min="10" max="10" width="24.42578125" style="1" bestFit="1" customWidth="1"/>
    <col min="11" max="12" width="20.7109375" style="1" hidden="1" customWidth="1"/>
    <col min="13" max="13" width="21.5703125" style="1" customWidth="1"/>
    <col min="14" max="16384" width="9.140625" style="1"/>
  </cols>
  <sheetData>
    <row r="1" spans="1:13" x14ac:dyDescent="0.25">
      <c r="A1" s="68"/>
      <c r="B1" s="69"/>
      <c r="C1" s="69"/>
      <c r="D1" s="69"/>
      <c r="E1" s="69"/>
      <c r="F1" s="69"/>
      <c r="G1" s="69"/>
      <c r="H1" s="69"/>
      <c r="I1" s="69"/>
      <c r="J1" s="69"/>
      <c r="K1" s="70"/>
      <c r="L1" s="70"/>
      <c r="M1" s="71"/>
    </row>
    <row r="2" spans="1:13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  <c r="L2" s="74"/>
      <c r="M2" s="75"/>
    </row>
    <row r="3" spans="1:13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6" t="s">
        <v>308</v>
      </c>
      <c r="H5" s="84" t="s">
        <v>27</v>
      </c>
      <c r="I5" s="86" t="s">
        <v>312</v>
      </c>
      <c r="J5" s="86" t="s">
        <v>24</v>
      </c>
      <c r="K5" s="86" t="s">
        <v>24</v>
      </c>
      <c r="L5" s="86" t="s">
        <v>25</v>
      </c>
      <c r="M5" s="66" t="s">
        <v>3</v>
      </c>
    </row>
    <row r="6" spans="1:13" ht="18" customHeight="1" thickBot="1" x14ac:dyDescent="0.3">
      <c r="A6" s="83"/>
      <c r="B6" s="85"/>
      <c r="C6" s="85"/>
      <c r="D6" s="85"/>
      <c r="E6" s="85"/>
      <c r="F6" s="85"/>
      <c r="G6" s="87"/>
      <c r="H6" s="85"/>
      <c r="I6" s="87"/>
      <c r="J6" s="87"/>
      <c r="K6" s="87"/>
      <c r="L6" s="87"/>
      <c r="M6" s="67"/>
    </row>
    <row r="7" spans="1:13" s="8" customFormat="1" ht="45" customHeight="1" thickBot="1" x14ac:dyDescent="0.3">
      <c r="A7" s="3"/>
      <c r="B7" s="7" t="s">
        <v>7</v>
      </c>
      <c r="C7" s="2" t="s">
        <v>15</v>
      </c>
      <c r="D7" s="16" t="s">
        <v>150</v>
      </c>
      <c r="E7" s="2" t="s">
        <v>311</v>
      </c>
      <c r="F7" s="10" t="s">
        <v>439</v>
      </c>
      <c r="G7" s="2">
        <v>5</v>
      </c>
      <c r="H7" s="4" t="s">
        <v>314</v>
      </c>
      <c r="I7" s="2">
        <v>189.98</v>
      </c>
      <c r="J7" s="2" t="s">
        <v>154</v>
      </c>
      <c r="K7" s="12"/>
      <c r="L7" s="6"/>
    </row>
    <row r="8" spans="1:13" s="8" customFormat="1" ht="45" customHeight="1" thickBot="1" x14ac:dyDescent="0.3">
      <c r="A8" s="3"/>
      <c r="B8" s="7" t="s">
        <v>7</v>
      </c>
      <c r="C8" s="2" t="s">
        <v>15</v>
      </c>
      <c r="D8" s="16" t="s">
        <v>151</v>
      </c>
      <c r="E8" s="2" t="s">
        <v>311</v>
      </c>
      <c r="F8" s="10" t="s">
        <v>439</v>
      </c>
      <c r="G8" s="2">
        <v>5</v>
      </c>
      <c r="H8" s="4" t="s">
        <v>314</v>
      </c>
      <c r="I8" s="2">
        <v>147.458</v>
      </c>
      <c r="J8" s="2" t="s">
        <v>154</v>
      </c>
      <c r="K8" s="12"/>
      <c r="L8" s="6"/>
    </row>
    <row r="9" spans="1:13" s="8" customFormat="1" ht="45" customHeight="1" thickBot="1" x14ac:dyDescent="0.3">
      <c r="A9" s="3"/>
      <c r="B9" s="7" t="s">
        <v>7</v>
      </c>
      <c r="C9" s="2" t="s">
        <v>15</v>
      </c>
      <c r="D9" s="16" t="s">
        <v>351</v>
      </c>
      <c r="E9" s="2" t="s">
        <v>311</v>
      </c>
      <c r="F9" s="10" t="s">
        <v>438</v>
      </c>
      <c r="G9" s="2">
        <v>5</v>
      </c>
      <c r="H9" s="4" t="s">
        <v>314</v>
      </c>
      <c r="I9" s="2">
        <v>654.41</v>
      </c>
      <c r="J9" s="2" t="s">
        <v>154</v>
      </c>
      <c r="K9" s="12"/>
      <c r="L9" s="6"/>
    </row>
    <row r="10" spans="1:13" s="8" customFormat="1" ht="45" customHeight="1" thickBot="1" x14ac:dyDescent="0.3">
      <c r="A10" s="3"/>
      <c r="B10" s="7" t="s">
        <v>7</v>
      </c>
      <c r="C10" s="2" t="s">
        <v>13</v>
      </c>
      <c r="D10" s="16" t="s">
        <v>359</v>
      </c>
      <c r="E10" s="10" t="s">
        <v>358</v>
      </c>
      <c r="F10" s="2" t="s">
        <v>225</v>
      </c>
      <c r="G10" s="2">
        <v>4</v>
      </c>
      <c r="H10" s="4" t="s">
        <v>316</v>
      </c>
      <c r="I10" s="2">
        <v>147.83000000000001</v>
      </c>
      <c r="J10" s="2" t="s">
        <v>154</v>
      </c>
      <c r="K10" s="12"/>
      <c r="L10" s="6"/>
    </row>
    <row r="11" spans="1:13" s="8" customFormat="1" ht="45" customHeight="1" thickBot="1" x14ac:dyDescent="0.3">
      <c r="A11" s="3"/>
      <c r="B11" s="7" t="s">
        <v>7</v>
      </c>
      <c r="C11" s="2" t="s">
        <v>13</v>
      </c>
      <c r="D11" s="16" t="s">
        <v>191</v>
      </c>
      <c r="E11" s="10" t="s">
        <v>358</v>
      </c>
      <c r="F11" s="2" t="s">
        <v>225</v>
      </c>
      <c r="G11" s="2">
        <v>4</v>
      </c>
      <c r="H11" s="4" t="s">
        <v>316</v>
      </c>
      <c r="I11" s="2">
        <v>54.484999999999999</v>
      </c>
      <c r="J11" s="2" t="s">
        <v>154</v>
      </c>
      <c r="K11" s="12"/>
      <c r="L11" s="6"/>
    </row>
    <row r="12" spans="1:13" s="8" customFormat="1" ht="45" customHeight="1" thickBot="1" x14ac:dyDescent="0.3">
      <c r="A12" s="3"/>
      <c r="B12" s="7" t="s">
        <v>7</v>
      </c>
      <c r="C12" s="2" t="s">
        <v>13</v>
      </c>
      <c r="D12" s="16" t="s">
        <v>148</v>
      </c>
      <c r="E12" s="10" t="s">
        <v>358</v>
      </c>
      <c r="F12" s="2" t="s">
        <v>225</v>
      </c>
      <c r="G12" s="2">
        <v>4</v>
      </c>
      <c r="H12" s="4" t="s">
        <v>316</v>
      </c>
      <c r="I12" s="2">
        <v>54.484999999999999</v>
      </c>
      <c r="J12" s="2" t="s">
        <v>154</v>
      </c>
      <c r="K12" s="12"/>
      <c r="L12" s="6"/>
    </row>
    <row r="13" spans="1:13" s="8" customFormat="1" ht="45" customHeight="1" thickBot="1" x14ac:dyDescent="0.3">
      <c r="A13" s="3"/>
      <c r="B13" s="7" t="s">
        <v>7</v>
      </c>
      <c r="C13" s="2" t="s">
        <v>13</v>
      </c>
      <c r="D13" s="16" t="s">
        <v>360</v>
      </c>
      <c r="E13" s="10" t="s">
        <v>358</v>
      </c>
      <c r="F13" s="2" t="s">
        <v>225</v>
      </c>
      <c r="G13" s="2">
        <v>4</v>
      </c>
      <c r="H13" s="4" t="s">
        <v>316</v>
      </c>
      <c r="I13" s="2">
        <v>130.01499999999999</v>
      </c>
      <c r="J13" s="2" t="s">
        <v>154</v>
      </c>
      <c r="K13" s="12"/>
      <c r="L13" s="6"/>
    </row>
    <row r="14" spans="1:13" s="8" customFormat="1" ht="45" customHeight="1" thickBot="1" x14ac:dyDescent="0.3">
      <c r="A14" s="3"/>
      <c r="B14" s="7" t="s">
        <v>7</v>
      </c>
      <c r="C14" s="2" t="s">
        <v>13</v>
      </c>
      <c r="D14" s="16" t="s">
        <v>189</v>
      </c>
      <c r="E14" s="10" t="s">
        <v>358</v>
      </c>
      <c r="F14" s="2" t="s">
        <v>225</v>
      </c>
      <c r="G14" s="2">
        <v>1</v>
      </c>
      <c r="H14" s="45" t="s">
        <v>361</v>
      </c>
      <c r="I14" s="2">
        <v>36.261000000000003</v>
      </c>
      <c r="J14" s="2" t="s">
        <v>34</v>
      </c>
      <c r="K14" s="12"/>
      <c r="L14" s="6"/>
    </row>
    <row r="15" spans="1:13" s="8" customFormat="1" ht="45" customHeight="1" thickBot="1" x14ac:dyDescent="0.3">
      <c r="A15" s="3"/>
      <c r="B15" s="7" t="s">
        <v>7</v>
      </c>
      <c r="C15" s="2" t="s">
        <v>13</v>
      </c>
      <c r="D15" s="16" t="s">
        <v>190</v>
      </c>
      <c r="E15" s="10" t="s">
        <v>358</v>
      </c>
      <c r="F15" s="2" t="s">
        <v>225</v>
      </c>
      <c r="G15" s="2">
        <v>1</v>
      </c>
      <c r="H15" s="45" t="s">
        <v>361</v>
      </c>
      <c r="I15" s="2">
        <v>45.436</v>
      </c>
      <c r="J15" s="2" t="s">
        <v>34</v>
      </c>
      <c r="K15" s="12"/>
      <c r="L15" s="6"/>
    </row>
    <row r="16" spans="1:13" s="8" customFormat="1" ht="45" customHeight="1" thickBot="1" x14ac:dyDescent="0.3">
      <c r="A16" s="3"/>
      <c r="B16" s="7" t="s">
        <v>7</v>
      </c>
      <c r="C16" s="2" t="s">
        <v>13</v>
      </c>
      <c r="D16" s="16" t="s">
        <v>191</v>
      </c>
      <c r="E16" s="10" t="s">
        <v>358</v>
      </c>
      <c r="F16" s="2" t="s">
        <v>225</v>
      </c>
      <c r="G16" s="2">
        <v>1</v>
      </c>
      <c r="H16" s="45" t="s">
        <v>361</v>
      </c>
      <c r="I16" s="2">
        <v>22.638999999999999</v>
      </c>
      <c r="J16" s="2" t="s">
        <v>34</v>
      </c>
      <c r="K16" s="12"/>
      <c r="L16" s="6"/>
    </row>
    <row r="17" spans="1:12" s="8" customFormat="1" ht="45" customHeight="1" thickBot="1" x14ac:dyDescent="0.3">
      <c r="A17" s="3"/>
      <c r="B17" s="7" t="s">
        <v>7</v>
      </c>
      <c r="C17" s="2" t="s">
        <v>13</v>
      </c>
      <c r="D17" s="16" t="s">
        <v>148</v>
      </c>
      <c r="E17" s="10" t="s">
        <v>358</v>
      </c>
      <c r="F17" s="2" t="s">
        <v>225</v>
      </c>
      <c r="G17" s="2">
        <v>1</v>
      </c>
      <c r="H17" s="45" t="s">
        <v>361</v>
      </c>
      <c r="I17" s="2">
        <v>22.638999999999999</v>
      </c>
      <c r="J17" s="2" t="s">
        <v>34</v>
      </c>
      <c r="K17" s="12"/>
      <c r="L17" s="6"/>
    </row>
    <row r="18" spans="1:12" s="8" customFormat="1" ht="45" customHeight="1" thickBot="1" x14ac:dyDescent="0.3">
      <c r="A18" s="3"/>
      <c r="B18" s="7" t="s">
        <v>7</v>
      </c>
      <c r="C18" s="2" t="s">
        <v>13</v>
      </c>
      <c r="D18" s="16" t="s">
        <v>360</v>
      </c>
      <c r="E18" s="10" t="s">
        <v>358</v>
      </c>
      <c r="F18" s="2" t="s">
        <v>225</v>
      </c>
      <c r="G18" s="2">
        <v>1</v>
      </c>
      <c r="H18" s="45" t="s">
        <v>361</v>
      </c>
      <c r="I18" s="2">
        <v>77.081000000000003</v>
      </c>
      <c r="J18" s="2" t="s">
        <v>34</v>
      </c>
      <c r="K18" s="12"/>
      <c r="L18" s="6"/>
    </row>
    <row r="19" spans="1:12" s="8" customFormat="1" ht="45" customHeight="1" thickBot="1" x14ac:dyDescent="0.3">
      <c r="A19" s="3"/>
      <c r="B19" s="7" t="s">
        <v>7</v>
      </c>
      <c r="C19" s="2" t="s">
        <v>362</v>
      </c>
      <c r="D19" s="16" t="s">
        <v>11</v>
      </c>
      <c r="E19" s="10" t="s">
        <v>358</v>
      </c>
      <c r="F19" s="2" t="s">
        <v>218</v>
      </c>
      <c r="G19" s="2">
        <v>1</v>
      </c>
      <c r="H19" s="45" t="s">
        <v>321</v>
      </c>
      <c r="I19" s="2">
        <v>1702.3130000000001</v>
      </c>
      <c r="J19" s="2" t="s">
        <v>34</v>
      </c>
      <c r="K19" s="12"/>
      <c r="L19" s="6"/>
    </row>
    <row r="20" spans="1:12" s="8" customFormat="1" ht="45" customHeight="1" thickBot="1" x14ac:dyDescent="0.3">
      <c r="A20" s="3"/>
      <c r="B20" s="7" t="s">
        <v>7</v>
      </c>
      <c r="C20" s="2" t="s">
        <v>80</v>
      </c>
      <c r="D20" s="16" t="s">
        <v>97</v>
      </c>
      <c r="E20" s="10" t="s">
        <v>358</v>
      </c>
      <c r="F20" s="2" t="s">
        <v>218</v>
      </c>
      <c r="G20" s="2">
        <v>1</v>
      </c>
      <c r="H20" s="4" t="s">
        <v>321</v>
      </c>
      <c r="I20" s="2">
        <v>209.703</v>
      </c>
      <c r="J20" s="2" t="s">
        <v>34</v>
      </c>
      <c r="K20" s="12"/>
      <c r="L20" s="6"/>
    </row>
    <row r="21" spans="1:12" s="8" customFormat="1" ht="45" customHeight="1" thickBot="1" x14ac:dyDescent="0.3">
      <c r="A21" s="3"/>
      <c r="B21" s="7" t="s">
        <v>7</v>
      </c>
      <c r="C21" s="2" t="s">
        <v>80</v>
      </c>
      <c r="D21" s="16" t="s">
        <v>363</v>
      </c>
      <c r="E21" s="10" t="s">
        <v>358</v>
      </c>
      <c r="F21" s="2" t="s">
        <v>218</v>
      </c>
      <c r="G21" s="2">
        <v>1</v>
      </c>
      <c r="H21" s="4" t="s">
        <v>321</v>
      </c>
      <c r="I21" s="2">
        <v>171.8708</v>
      </c>
      <c r="J21" s="2" t="s">
        <v>34</v>
      </c>
      <c r="K21" s="12"/>
      <c r="L21" s="6"/>
    </row>
    <row r="22" spans="1:12" s="8" customFormat="1" ht="45" customHeight="1" thickBot="1" x14ac:dyDescent="0.3">
      <c r="A22" s="3"/>
      <c r="B22" s="7" t="s">
        <v>7</v>
      </c>
      <c r="C22" s="2" t="s">
        <v>80</v>
      </c>
      <c r="D22" s="16" t="s">
        <v>167</v>
      </c>
      <c r="E22" s="10" t="s">
        <v>358</v>
      </c>
      <c r="F22" s="2" t="s">
        <v>218</v>
      </c>
      <c r="G22" s="2">
        <v>3</v>
      </c>
      <c r="H22" s="4" t="s">
        <v>319</v>
      </c>
      <c r="I22" s="2">
        <v>71.900000000000006</v>
      </c>
      <c r="J22" s="2" t="s">
        <v>154</v>
      </c>
      <c r="K22" s="12"/>
      <c r="L22" s="6"/>
    </row>
    <row r="23" spans="1:12" s="8" customFormat="1" ht="45" customHeight="1" thickBot="1" x14ac:dyDescent="0.3">
      <c r="A23" s="3"/>
      <c r="B23" s="7" t="s">
        <v>7</v>
      </c>
      <c r="C23" s="2" t="s">
        <v>80</v>
      </c>
      <c r="D23" s="16" t="s">
        <v>188</v>
      </c>
      <c r="E23" s="10" t="s">
        <v>358</v>
      </c>
      <c r="F23" s="2" t="s">
        <v>218</v>
      </c>
      <c r="G23" s="2">
        <v>3</v>
      </c>
      <c r="H23" s="4" t="s">
        <v>319</v>
      </c>
      <c r="I23" s="2">
        <v>57</v>
      </c>
      <c r="J23" s="2" t="s">
        <v>154</v>
      </c>
      <c r="K23" s="12"/>
      <c r="L23" s="6"/>
    </row>
    <row r="24" spans="1:12" s="8" customFormat="1" ht="45" customHeight="1" thickBot="1" x14ac:dyDescent="0.3">
      <c r="A24" s="3"/>
      <c r="B24" s="7" t="s">
        <v>7</v>
      </c>
      <c r="C24" s="2" t="s">
        <v>108</v>
      </c>
      <c r="D24" s="16" t="s">
        <v>11</v>
      </c>
      <c r="E24" s="10" t="s">
        <v>358</v>
      </c>
      <c r="F24" s="2" t="s">
        <v>218</v>
      </c>
      <c r="G24" s="2">
        <v>1</v>
      </c>
      <c r="H24" s="45" t="s">
        <v>321</v>
      </c>
      <c r="I24" s="2">
        <v>2032.402</v>
      </c>
      <c r="J24" s="2" t="s">
        <v>34</v>
      </c>
      <c r="K24" s="12"/>
      <c r="L24" s="6"/>
    </row>
    <row r="25" spans="1:12" s="8" customFormat="1" ht="45" customHeight="1" thickBot="1" x14ac:dyDescent="0.3">
      <c r="A25" s="3"/>
      <c r="B25" s="7" t="s">
        <v>7</v>
      </c>
      <c r="C25" s="2" t="s">
        <v>13</v>
      </c>
      <c r="D25" s="16" t="s">
        <v>359</v>
      </c>
      <c r="E25" s="10" t="s">
        <v>358</v>
      </c>
      <c r="F25" s="2" t="s">
        <v>210</v>
      </c>
      <c r="G25" s="2">
        <v>3</v>
      </c>
      <c r="H25" s="45" t="s">
        <v>314</v>
      </c>
      <c r="I25" s="2">
        <v>377.96899999999999</v>
      </c>
      <c r="J25" s="2" t="s">
        <v>154</v>
      </c>
      <c r="K25" s="12"/>
      <c r="L25" s="6"/>
    </row>
    <row r="26" spans="1:12" s="8" customFormat="1" ht="45" customHeight="1" thickBot="1" x14ac:dyDescent="0.3">
      <c r="A26" s="3"/>
      <c r="B26" s="7" t="s">
        <v>7</v>
      </c>
      <c r="C26" s="2" t="s">
        <v>13</v>
      </c>
      <c r="D26" s="16" t="s">
        <v>191</v>
      </c>
      <c r="E26" s="10" t="s">
        <v>358</v>
      </c>
      <c r="F26" s="2" t="s">
        <v>210</v>
      </c>
      <c r="G26" s="2">
        <v>3</v>
      </c>
      <c r="H26" s="45" t="s">
        <v>314</v>
      </c>
      <c r="I26" s="2">
        <v>147.96</v>
      </c>
      <c r="J26" s="2" t="s">
        <v>154</v>
      </c>
      <c r="K26" s="12"/>
      <c r="L26" s="6"/>
    </row>
    <row r="27" spans="1:12" s="8" customFormat="1" ht="45" customHeight="1" thickBot="1" x14ac:dyDescent="0.3">
      <c r="A27" s="3"/>
      <c r="B27" s="7" t="s">
        <v>7</v>
      </c>
      <c r="C27" s="2" t="s">
        <v>13</v>
      </c>
      <c r="D27" s="16" t="s">
        <v>148</v>
      </c>
      <c r="E27" s="10" t="s">
        <v>358</v>
      </c>
      <c r="F27" s="2" t="s">
        <v>210</v>
      </c>
      <c r="G27" s="2">
        <v>3</v>
      </c>
      <c r="H27" s="45" t="s">
        <v>314</v>
      </c>
      <c r="I27" s="2">
        <v>158.23500000000001</v>
      </c>
      <c r="J27" s="2" t="s">
        <v>154</v>
      </c>
      <c r="K27" s="12"/>
      <c r="L27" s="6"/>
    </row>
    <row r="28" spans="1:12" s="8" customFormat="1" ht="45" customHeight="1" thickBot="1" x14ac:dyDescent="0.3">
      <c r="A28" s="3"/>
      <c r="B28" s="7" t="s">
        <v>7</v>
      </c>
      <c r="C28" s="2" t="s">
        <v>10</v>
      </c>
      <c r="D28" s="16" t="s">
        <v>220</v>
      </c>
      <c r="E28" s="10" t="s">
        <v>364</v>
      </c>
      <c r="F28" s="2" t="s">
        <v>210</v>
      </c>
      <c r="G28" s="2">
        <v>2</v>
      </c>
      <c r="H28" s="45" t="s">
        <v>314</v>
      </c>
      <c r="I28" s="2">
        <v>147.44999999999999</v>
      </c>
      <c r="J28" s="2" t="s">
        <v>154</v>
      </c>
      <c r="K28" s="12"/>
      <c r="L28" s="6"/>
    </row>
    <row r="29" spans="1:12" s="8" customFormat="1" ht="45" customHeight="1" thickBot="1" x14ac:dyDescent="0.3">
      <c r="A29" s="3"/>
      <c r="B29" s="7" t="s">
        <v>7</v>
      </c>
      <c r="C29" s="2" t="s">
        <v>10</v>
      </c>
      <c r="D29" s="16" t="s">
        <v>224</v>
      </c>
      <c r="E29" s="10" t="s">
        <v>364</v>
      </c>
      <c r="F29" s="2" t="s">
        <v>210</v>
      </c>
      <c r="G29" s="2">
        <v>2</v>
      </c>
      <c r="H29" s="45" t="s">
        <v>314</v>
      </c>
      <c r="I29" s="2">
        <v>244.86</v>
      </c>
      <c r="J29" s="2" t="s">
        <v>154</v>
      </c>
      <c r="K29" s="12"/>
      <c r="L29" s="6"/>
    </row>
    <row r="30" spans="1:12" s="8" customFormat="1" ht="45" customHeight="1" thickBot="1" x14ac:dyDescent="0.3">
      <c r="A30" s="3"/>
      <c r="B30" s="7" t="s">
        <v>7</v>
      </c>
      <c r="C30" s="2" t="s">
        <v>10</v>
      </c>
      <c r="D30" s="16" t="s">
        <v>185</v>
      </c>
      <c r="E30" s="10" t="s">
        <v>364</v>
      </c>
      <c r="F30" s="2" t="s">
        <v>210</v>
      </c>
      <c r="G30" s="2">
        <v>2</v>
      </c>
      <c r="H30" s="45" t="s">
        <v>314</v>
      </c>
      <c r="I30" s="2">
        <v>118.849</v>
      </c>
      <c r="J30" s="2" t="s">
        <v>154</v>
      </c>
      <c r="K30" s="12"/>
      <c r="L30" s="6"/>
    </row>
    <row r="31" spans="1:12" s="8" customFormat="1" ht="45" customHeight="1" thickBot="1" x14ac:dyDescent="0.3">
      <c r="A31" s="3"/>
      <c r="B31" s="7" t="s">
        <v>7</v>
      </c>
      <c r="C31" s="2" t="s">
        <v>29</v>
      </c>
      <c r="D31" s="16" t="s">
        <v>378</v>
      </c>
      <c r="E31" s="2" t="s">
        <v>311</v>
      </c>
      <c r="F31" s="10" t="s">
        <v>440</v>
      </c>
      <c r="G31" s="2">
        <v>5</v>
      </c>
      <c r="H31" s="4" t="s">
        <v>314</v>
      </c>
      <c r="I31" s="2">
        <v>189.98400000000001</v>
      </c>
      <c r="J31" s="2" t="s">
        <v>154</v>
      </c>
      <c r="K31" s="12"/>
      <c r="L31" s="6"/>
    </row>
    <row r="32" spans="1:12" s="8" customFormat="1" ht="45" customHeight="1" thickBot="1" x14ac:dyDescent="0.3">
      <c r="A32" s="3"/>
      <c r="B32" s="7" t="s">
        <v>7</v>
      </c>
      <c r="C32" s="2" t="s">
        <v>29</v>
      </c>
      <c r="D32" s="16" t="s">
        <v>379</v>
      </c>
      <c r="E32" s="2" t="s">
        <v>311</v>
      </c>
      <c r="F32" s="10" t="s">
        <v>440</v>
      </c>
      <c r="G32" s="2">
        <v>5</v>
      </c>
      <c r="H32" s="4" t="s">
        <v>314</v>
      </c>
      <c r="I32" s="2">
        <v>152.869</v>
      </c>
      <c r="J32" s="2" t="s">
        <v>154</v>
      </c>
      <c r="K32" s="12"/>
      <c r="L32" s="6"/>
    </row>
    <row r="33" spans="1:13" s="8" customFormat="1" ht="45" customHeight="1" thickBot="1" x14ac:dyDescent="0.3">
      <c r="A33" s="3"/>
      <c r="B33" s="7" t="s">
        <v>7</v>
      </c>
      <c r="C33" s="2" t="s">
        <v>15</v>
      </c>
      <c r="D33" s="16" t="s">
        <v>380</v>
      </c>
      <c r="E33" s="2" t="s">
        <v>311</v>
      </c>
      <c r="F33" s="2" t="s">
        <v>52</v>
      </c>
      <c r="G33" s="2">
        <v>1</v>
      </c>
      <c r="H33" s="4" t="s">
        <v>314</v>
      </c>
      <c r="I33" s="2">
        <v>321.68799999999999</v>
      </c>
      <c r="J33" s="2" t="s">
        <v>154</v>
      </c>
      <c r="K33" s="12"/>
      <c r="L33" s="6"/>
    </row>
    <row r="34" spans="1:13" s="8" customFormat="1" ht="45" customHeight="1" thickBot="1" x14ac:dyDescent="0.3">
      <c r="A34" s="3"/>
      <c r="B34" s="7" t="s">
        <v>7</v>
      </c>
      <c r="C34" s="2" t="s">
        <v>15</v>
      </c>
      <c r="D34" s="16" t="s">
        <v>380</v>
      </c>
      <c r="E34" s="2" t="s">
        <v>311</v>
      </c>
      <c r="F34" s="2" t="s">
        <v>52</v>
      </c>
      <c r="G34" s="2">
        <v>5</v>
      </c>
      <c r="H34" s="4" t="s">
        <v>314</v>
      </c>
      <c r="I34" s="2">
        <v>58.112000000000002</v>
      </c>
      <c r="J34" s="2" t="s">
        <v>154</v>
      </c>
      <c r="K34" s="12"/>
      <c r="L34" s="6"/>
      <c r="M34" s="8" t="s">
        <v>370</v>
      </c>
    </row>
    <row r="35" spans="1:13" s="8" customFormat="1" ht="45" customHeight="1" thickBot="1" x14ac:dyDescent="0.3">
      <c r="A35" s="3"/>
      <c r="B35" s="7" t="s">
        <v>7</v>
      </c>
      <c r="C35" s="2" t="s">
        <v>43</v>
      </c>
      <c r="D35" s="16" t="s">
        <v>42</v>
      </c>
      <c r="E35" s="2" t="s">
        <v>311</v>
      </c>
      <c r="F35" s="2" t="s">
        <v>52</v>
      </c>
      <c r="G35" s="2">
        <v>5</v>
      </c>
      <c r="H35" s="4" t="s">
        <v>321</v>
      </c>
      <c r="I35" s="2">
        <v>634.07000000000005</v>
      </c>
      <c r="J35" s="2" t="s">
        <v>34</v>
      </c>
      <c r="K35" s="12"/>
      <c r="L35" s="6"/>
    </row>
    <row r="36" spans="1:13" s="8" customFormat="1" ht="45" customHeight="1" thickBot="1" x14ac:dyDescent="0.3">
      <c r="A36" s="3"/>
      <c r="B36" s="7" t="s">
        <v>7</v>
      </c>
      <c r="C36" s="2" t="s">
        <v>388</v>
      </c>
      <c r="D36" s="16" t="s">
        <v>389</v>
      </c>
      <c r="E36" s="2" t="s">
        <v>311</v>
      </c>
      <c r="F36" s="2" t="s">
        <v>84</v>
      </c>
      <c r="G36" s="2">
        <v>0</v>
      </c>
      <c r="H36" s="4" t="s">
        <v>387</v>
      </c>
      <c r="I36" s="2">
        <v>634.07000000000005</v>
      </c>
      <c r="J36" s="2" t="s">
        <v>390</v>
      </c>
      <c r="K36" s="12"/>
      <c r="L36" s="6"/>
    </row>
    <row r="37" spans="1:13" s="8" customFormat="1" ht="100.5" thickBot="1" x14ac:dyDescent="0.3">
      <c r="A37" s="3"/>
      <c r="B37" s="7" t="s">
        <v>7</v>
      </c>
      <c r="C37" s="10" t="s">
        <v>398</v>
      </c>
      <c r="D37" s="16" t="s">
        <v>399</v>
      </c>
      <c r="E37" s="10" t="s">
        <v>400</v>
      </c>
      <c r="F37" s="2" t="s">
        <v>218</v>
      </c>
      <c r="G37" s="2">
        <v>4</v>
      </c>
      <c r="H37" s="45" t="s">
        <v>361</v>
      </c>
      <c r="I37" s="2">
        <v>1669.0229999999999</v>
      </c>
      <c r="J37" s="2" t="s">
        <v>34</v>
      </c>
      <c r="K37" s="12"/>
      <c r="L37" s="6"/>
    </row>
    <row r="38" spans="1:13" s="8" customFormat="1" ht="86.25" thickBot="1" x14ac:dyDescent="0.3">
      <c r="A38" s="3"/>
      <c r="B38" s="7" t="s">
        <v>7</v>
      </c>
      <c r="C38" s="10" t="s">
        <v>398</v>
      </c>
      <c r="D38" s="16" t="s">
        <v>401</v>
      </c>
      <c r="E38" s="10" t="s">
        <v>400</v>
      </c>
      <c r="F38" s="2" t="s">
        <v>218</v>
      </c>
      <c r="G38" s="2">
        <v>1</v>
      </c>
      <c r="H38" s="45" t="s">
        <v>361</v>
      </c>
      <c r="I38" s="2">
        <v>1551.7380000000001</v>
      </c>
      <c r="J38" s="2" t="s">
        <v>34</v>
      </c>
      <c r="K38" s="12"/>
      <c r="L38" s="6"/>
    </row>
    <row r="39" spans="1:13" s="8" customFormat="1" ht="72" thickBot="1" x14ac:dyDescent="0.3">
      <c r="A39" s="3"/>
      <c r="B39" s="7" t="s">
        <v>7</v>
      </c>
      <c r="C39" s="10" t="s">
        <v>402</v>
      </c>
      <c r="D39" s="16" t="s">
        <v>403</v>
      </c>
      <c r="E39" s="10" t="s">
        <v>400</v>
      </c>
      <c r="F39" s="2" t="s">
        <v>218</v>
      </c>
      <c r="G39" s="2">
        <v>2</v>
      </c>
      <c r="H39" s="45" t="s">
        <v>405</v>
      </c>
      <c r="I39" s="2">
        <v>442</v>
      </c>
      <c r="J39" s="2" t="s">
        <v>34</v>
      </c>
      <c r="K39" s="12"/>
      <c r="L39" s="6"/>
      <c r="M39" s="46" t="s">
        <v>404</v>
      </c>
    </row>
    <row r="40" spans="1:13" s="8" customFormat="1" ht="45" customHeight="1" thickBot="1" x14ac:dyDescent="0.3">
      <c r="A40" s="3"/>
      <c r="B40" s="7" t="s">
        <v>7</v>
      </c>
      <c r="C40" s="2" t="s">
        <v>406</v>
      </c>
      <c r="D40" s="16" t="s">
        <v>407</v>
      </c>
      <c r="E40" s="10" t="s">
        <v>400</v>
      </c>
      <c r="F40" s="2" t="s">
        <v>218</v>
      </c>
      <c r="G40" s="2">
        <v>5</v>
      </c>
      <c r="H40" s="45" t="s">
        <v>314</v>
      </c>
      <c r="I40" s="2">
        <v>1649.22</v>
      </c>
      <c r="J40" s="2" t="s">
        <v>154</v>
      </c>
      <c r="K40" s="12"/>
      <c r="L40" s="6"/>
    </row>
    <row r="41" spans="1:13" s="8" customFormat="1" ht="45" customHeight="1" thickBot="1" x14ac:dyDescent="0.3">
      <c r="A41" s="3"/>
      <c r="B41" s="7" t="s">
        <v>7</v>
      </c>
      <c r="C41" s="2" t="s">
        <v>406</v>
      </c>
      <c r="D41" s="16" t="s">
        <v>408</v>
      </c>
      <c r="E41" s="10" t="s">
        <v>400</v>
      </c>
      <c r="F41" s="2" t="s">
        <v>218</v>
      </c>
      <c r="G41" s="2">
        <v>5</v>
      </c>
      <c r="H41" s="45" t="s">
        <v>314</v>
      </c>
      <c r="I41" s="2">
        <v>1343.7539999999999</v>
      </c>
      <c r="J41" s="2" t="s">
        <v>154</v>
      </c>
      <c r="K41" s="12"/>
      <c r="L41" s="6"/>
    </row>
    <row r="42" spans="1:13" s="8" customFormat="1" ht="45" customHeight="1" thickBot="1" x14ac:dyDescent="0.3">
      <c r="A42" s="3"/>
      <c r="B42" s="7" t="s">
        <v>7</v>
      </c>
      <c r="C42" s="2" t="s">
        <v>409</v>
      </c>
      <c r="D42" s="16" t="s">
        <v>77</v>
      </c>
      <c r="E42" s="10" t="s">
        <v>400</v>
      </c>
      <c r="F42" s="2" t="s">
        <v>225</v>
      </c>
      <c r="G42" s="2">
        <v>5</v>
      </c>
      <c r="H42" s="45" t="s">
        <v>321</v>
      </c>
      <c r="I42" s="2">
        <v>1233.97</v>
      </c>
      <c r="J42" s="2" t="s">
        <v>34</v>
      </c>
      <c r="K42" s="12"/>
      <c r="L42" s="6"/>
    </row>
    <row r="43" spans="1:13" s="8" customFormat="1" ht="45" customHeight="1" thickBot="1" x14ac:dyDescent="0.3">
      <c r="A43" s="3"/>
      <c r="B43" s="7" t="s">
        <v>7</v>
      </c>
      <c r="C43" s="2" t="s">
        <v>409</v>
      </c>
      <c r="D43" s="16" t="s">
        <v>410</v>
      </c>
      <c r="E43" s="10" t="s">
        <v>400</v>
      </c>
      <c r="F43" s="2" t="s">
        <v>225</v>
      </c>
      <c r="G43" s="2">
        <v>5</v>
      </c>
      <c r="H43" s="45" t="s">
        <v>321</v>
      </c>
      <c r="I43" s="2">
        <v>783.52800000000002</v>
      </c>
      <c r="J43" s="2" t="s">
        <v>34</v>
      </c>
      <c r="K43" s="12"/>
      <c r="L43" s="6"/>
    </row>
    <row r="44" spans="1:13" s="8" customFormat="1" ht="45" customHeight="1" thickBot="1" x14ac:dyDescent="0.3">
      <c r="A44" s="3"/>
      <c r="B44" s="7" t="s">
        <v>7</v>
      </c>
      <c r="C44" s="2" t="s">
        <v>411</v>
      </c>
      <c r="D44" s="16" t="s">
        <v>363</v>
      </c>
      <c r="E44" s="10" t="s">
        <v>400</v>
      </c>
      <c r="F44" s="2" t="s">
        <v>225</v>
      </c>
      <c r="G44" s="2">
        <v>2</v>
      </c>
      <c r="H44" s="45" t="s">
        <v>321</v>
      </c>
      <c r="I44" s="2">
        <v>259.81599999999997</v>
      </c>
      <c r="J44" s="2" t="s">
        <v>34</v>
      </c>
      <c r="K44" s="12"/>
      <c r="L44" s="6"/>
    </row>
    <row r="45" spans="1:13" s="8" customFormat="1" ht="45" customHeight="1" thickBot="1" x14ac:dyDescent="0.3">
      <c r="A45" s="3"/>
      <c r="B45" s="7" t="s">
        <v>7</v>
      </c>
      <c r="C45" s="2" t="s">
        <v>411</v>
      </c>
      <c r="D45" s="16" t="s">
        <v>188</v>
      </c>
      <c r="E45" s="10" t="s">
        <v>400</v>
      </c>
      <c r="F45" s="2" t="s">
        <v>225</v>
      </c>
      <c r="G45" s="2">
        <v>5</v>
      </c>
      <c r="H45" s="4" t="s">
        <v>319</v>
      </c>
      <c r="I45" s="2">
        <v>90.8</v>
      </c>
      <c r="J45" s="2" t="s">
        <v>154</v>
      </c>
      <c r="K45" s="12"/>
      <c r="L45" s="6"/>
    </row>
    <row r="46" spans="1:13" s="8" customFormat="1" ht="45" customHeight="1" thickBot="1" x14ac:dyDescent="0.3">
      <c r="A46" s="3"/>
      <c r="B46" s="7" t="s">
        <v>7</v>
      </c>
      <c r="C46" s="2" t="s">
        <v>412</v>
      </c>
      <c r="D46" s="16" t="s">
        <v>97</v>
      </c>
      <c r="E46" s="10" t="s">
        <v>400</v>
      </c>
      <c r="F46" s="2" t="s">
        <v>225</v>
      </c>
      <c r="G46" s="2">
        <v>4</v>
      </c>
      <c r="H46" s="45" t="s">
        <v>321</v>
      </c>
      <c r="I46" s="2">
        <v>311.976</v>
      </c>
      <c r="J46" s="2" t="s">
        <v>34</v>
      </c>
      <c r="K46" s="12"/>
      <c r="L46" s="6"/>
    </row>
    <row r="47" spans="1:13" s="8" customFormat="1" ht="45" customHeight="1" thickBot="1" x14ac:dyDescent="0.3">
      <c r="A47" s="3"/>
      <c r="B47" s="7" t="s">
        <v>7</v>
      </c>
      <c r="C47" s="2" t="s">
        <v>412</v>
      </c>
      <c r="D47" s="16" t="s">
        <v>167</v>
      </c>
      <c r="E47" s="10" t="s">
        <v>400</v>
      </c>
      <c r="F47" s="2" t="s">
        <v>225</v>
      </c>
      <c r="G47" s="2">
        <v>2</v>
      </c>
      <c r="H47" s="4" t="s">
        <v>319</v>
      </c>
      <c r="I47" s="2">
        <v>115.2</v>
      </c>
      <c r="J47" s="2" t="s">
        <v>154</v>
      </c>
      <c r="K47" s="12"/>
      <c r="L47" s="6"/>
    </row>
    <row r="48" spans="1:13" s="8" customFormat="1" ht="45" customHeight="1" thickBot="1" x14ac:dyDescent="0.3">
      <c r="A48" s="3"/>
      <c r="B48" s="7" t="s">
        <v>7</v>
      </c>
      <c r="C48" s="10" t="s">
        <v>413</v>
      </c>
      <c r="D48" s="16" t="s">
        <v>97</v>
      </c>
      <c r="E48" s="10" t="s">
        <v>400</v>
      </c>
      <c r="F48" s="2" t="s">
        <v>225</v>
      </c>
      <c r="G48" s="2">
        <v>5</v>
      </c>
      <c r="H48" s="45" t="s">
        <v>321</v>
      </c>
      <c r="I48" s="2">
        <v>390.60599999999999</v>
      </c>
      <c r="J48" s="2" t="s">
        <v>34</v>
      </c>
      <c r="K48" s="12"/>
      <c r="L48" s="6"/>
    </row>
    <row r="49" spans="1:13" s="8" customFormat="1" ht="45" customHeight="1" thickBot="1" x14ac:dyDescent="0.3">
      <c r="A49" s="3"/>
      <c r="B49" s="7" t="s">
        <v>7</v>
      </c>
      <c r="C49" s="10" t="s">
        <v>413</v>
      </c>
      <c r="D49" s="16" t="s">
        <v>167</v>
      </c>
      <c r="E49" s="10" t="s">
        <v>400</v>
      </c>
      <c r="F49" s="2" t="s">
        <v>225</v>
      </c>
      <c r="G49" s="2">
        <v>5</v>
      </c>
      <c r="H49" s="4" t="s">
        <v>319</v>
      </c>
      <c r="I49" s="2">
        <v>100.8</v>
      </c>
      <c r="J49" s="2" t="s">
        <v>154</v>
      </c>
      <c r="K49" s="12"/>
      <c r="L49" s="6"/>
    </row>
    <row r="50" spans="1:13" s="8" customFormat="1" ht="45" customHeight="1" thickBot="1" x14ac:dyDescent="0.3">
      <c r="A50" s="3"/>
      <c r="B50" s="7" t="s">
        <v>7</v>
      </c>
      <c r="C50" s="2" t="s">
        <v>196</v>
      </c>
      <c r="D50" s="16" t="s">
        <v>414</v>
      </c>
      <c r="E50" s="10" t="s">
        <v>400</v>
      </c>
      <c r="F50" s="2" t="s">
        <v>225</v>
      </c>
      <c r="G50" s="2">
        <v>5</v>
      </c>
      <c r="H50" s="4" t="s">
        <v>316</v>
      </c>
      <c r="I50" s="2">
        <v>387.78</v>
      </c>
      <c r="J50" s="2" t="s">
        <v>154</v>
      </c>
      <c r="K50" s="12"/>
      <c r="L50" s="6"/>
    </row>
    <row r="51" spans="1:13" s="8" customFormat="1" ht="45" customHeight="1" thickBot="1" x14ac:dyDescent="0.3">
      <c r="A51" s="3"/>
      <c r="B51" s="7" t="s">
        <v>7</v>
      </c>
      <c r="C51" s="2" t="s">
        <v>12</v>
      </c>
      <c r="D51" s="16" t="s">
        <v>415</v>
      </c>
      <c r="E51" s="10" t="s">
        <v>400</v>
      </c>
      <c r="F51" s="2" t="s">
        <v>225</v>
      </c>
      <c r="G51" s="2">
        <v>5</v>
      </c>
      <c r="H51" s="4" t="s">
        <v>316</v>
      </c>
      <c r="I51" s="2">
        <v>387.78</v>
      </c>
      <c r="J51" s="2" t="s">
        <v>154</v>
      </c>
      <c r="K51" s="12"/>
      <c r="L51" s="6"/>
    </row>
    <row r="52" spans="1:13" s="8" customFormat="1" ht="45" customHeight="1" thickBot="1" x14ac:dyDescent="0.3">
      <c r="A52" s="3"/>
      <c r="B52" s="7" t="s">
        <v>7</v>
      </c>
      <c r="C52" s="2" t="s">
        <v>17</v>
      </c>
      <c r="D52" s="16" t="s">
        <v>416</v>
      </c>
      <c r="E52" s="10" t="s">
        <v>400</v>
      </c>
      <c r="F52" s="2" t="s">
        <v>225</v>
      </c>
      <c r="G52" s="2">
        <v>5</v>
      </c>
      <c r="H52" s="4" t="s">
        <v>316</v>
      </c>
      <c r="I52" s="2">
        <v>387.78</v>
      </c>
      <c r="J52" s="2" t="s">
        <v>154</v>
      </c>
      <c r="K52" s="12"/>
      <c r="L52" s="6"/>
    </row>
    <row r="53" spans="1:13" s="8" customFormat="1" ht="45" customHeight="1" thickBot="1" x14ac:dyDescent="0.3">
      <c r="A53" s="3"/>
      <c r="B53" s="7" t="s">
        <v>7</v>
      </c>
      <c r="C53" s="10" t="s">
        <v>418</v>
      </c>
      <c r="D53" s="10" t="s">
        <v>85</v>
      </c>
      <c r="E53" s="10" t="s">
        <v>400</v>
      </c>
      <c r="F53" s="2" t="s">
        <v>225</v>
      </c>
      <c r="G53" s="2">
        <v>5</v>
      </c>
      <c r="H53" s="45" t="s">
        <v>417</v>
      </c>
      <c r="I53" s="2">
        <v>566.51</v>
      </c>
      <c r="J53" s="6" t="s">
        <v>34</v>
      </c>
    </row>
    <row r="54" spans="1:13" s="8" customFormat="1" ht="45" customHeight="1" thickBot="1" x14ac:dyDescent="0.3">
      <c r="A54" s="3"/>
      <c r="B54" s="7" t="s">
        <v>7</v>
      </c>
      <c r="C54" s="10" t="s">
        <v>418</v>
      </c>
      <c r="D54" s="10" t="s">
        <v>96</v>
      </c>
      <c r="E54" s="10" t="s">
        <v>400</v>
      </c>
      <c r="F54" s="2" t="s">
        <v>225</v>
      </c>
      <c r="G54" s="2">
        <v>5</v>
      </c>
      <c r="H54" s="45" t="s">
        <v>417</v>
      </c>
      <c r="I54" s="2">
        <v>537.11</v>
      </c>
      <c r="J54" s="6" t="s">
        <v>34</v>
      </c>
    </row>
    <row r="55" spans="1:13" s="8" customFormat="1" ht="45" customHeight="1" thickBot="1" x14ac:dyDescent="0.3">
      <c r="A55" s="3"/>
      <c r="B55" s="7" t="s">
        <v>7</v>
      </c>
      <c r="C55" s="10" t="s">
        <v>418</v>
      </c>
      <c r="D55" s="10" t="s">
        <v>138</v>
      </c>
      <c r="E55" s="10" t="s">
        <v>400</v>
      </c>
      <c r="F55" s="2" t="s">
        <v>225</v>
      </c>
      <c r="G55" s="2">
        <v>5</v>
      </c>
      <c r="H55" s="45" t="s">
        <v>417</v>
      </c>
      <c r="I55" s="2">
        <v>413.35</v>
      </c>
      <c r="J55" s="6" t="s">
        <v>34</v>
      </c>
    </row>
    <row r="56" spans="1:13" s="8" customFormat="1" ht="45" customHeight="1" thickBot="1" x14ac:dyDescent="0.3">
      <c r="A56" s="3"/>
      <c r="B56" s="7" t="s">
        <v>7</v>
      </c>
      <c r="C56" s="10" t="s">
        <v>421</v>
      </c>
      <c r="D56" s="16" t="s">
        <v>422</v>
      </c>
      <c r="E56" s="10" t="s">
        <v>400</v>
      </c>
      <c r="F56" s="2" t="s">
        <v>225</v>
      </c>
      <c r="G56" s="2">
        <v>5</v>
      </c>
      <c r="H56" s="45" t="s">
        <v>423</v>
      </c>
      <c r="I56" s="2">
        <v>19.95</v>
      </c>
      <c r="J56" s="6" t="s">
        <v>34</v>
      </c>
      <c r="M56" s="5" t="s">
        <v>420</v>
      </c>
    </row>
    <row r="57" spans="1:13" s="8" customFormat="1" ht="45" customHeight="1" thickBot="1" x14ac:dyDescent="0.3">
      <c r="A57" s="3"/>
      <c r="B57" s="7" t="s">
        <v>7</v>
      </c>
      <c r="C57" s="10" t="s">
        <v>421</v>
      </c>
      <c r="D57" s="16" t="s">
        <v>424</v>
      </c>
      <c r="E57" s="10" t="s">
        <v>400</v>
      </c>
      <c r="F57" s="2" t="s">
        <v>225</v>
      </c>
      <c r="G57" s="2">
        <v>5</v>
      </c>
      <c r="H57" s="45" t="s">
        <v>423</v>
      </c>
      <c r="I57" s="2">
        <v>28.35</v>
      </c>
      <c r="J57" s="6" t="s">
        <v>34</v>
      </c>
      <c r="M57" s="5" t="s">
        <v>420</v>
      </c>
    </row>
    <row r="58" spans="1:13" s="8" customFormat="1" ht="45" customHeight="1" thickBot="1" x14ac:dyDescent="0.3">
      <c r="A58" s="3"/>
      <c r="B58" s="7" t="s">
        <v>7</v>
      </c>
      <c r="C58" s="10" t="s">
        <v>425</v>
      </c>
      <c r="D58" s="16" t="s">
        <v>419</v>
      </c>
      <c r="E58" s="10" t="s">
        <v>400</v>
      </c>
      <c r="F58" s="2" t="s">
        <v>225</v>
      </c>
      <c r="G58" s="2">
        <v>5</v>
      </c>
      <c r="H58" s="45" t="s">
        <v>423</v>
      </c>
      <c r="I58" s="2">
        <v>9.4499999999999993</v>
      </c>
      <c r="J58" s="6" t="s">
        <v>34</v>
      </c>
      <c r="M58" s="5" t="s">
        <v>420</v>
      </c>
    </row>
    <row r="59" spans="1:13" s="8" customFormat="1" ht="45" customHeight="1" thickBot="1" x14ac:dyDescent="0.3">
      <c r="A59" s="3"/>
      <c r="B59" s="7" t="s">
        <v>7</v>
      </c>
      <c r="C59" s="2" t="s">
        <v>428</v>
      </c>
      <c r="D59" s="16" t="s">
        <v>465</v>
      </c>
      <c r="E59" s="2" t="s">
        <v>311</v>
      </c>
      <c r="F59" s="10" t="s">
        <v>437</v>
      </c>
      <c r="G59" s="2">
        <v>4</v>
      </c>
      <c r="H59" s="4" t="s">
        <v>395</v>
      </c>
      <c r="I59" s="2">
        <v>652.00300000000004</v>
      </c>
      <c r="J59" s="2" t="s">
        <v>154</v>
      </c>
      <c r="K59" s="12"/>
      <c r="L59" s="6"/>
    </row>
    <row r="60" spans="1:13" s="8" customFormat="1" ht="45" customHeight="1" thickBot="1" x14ac:dyDescent="0.3">
      <c r="A60" s="3"/>
      <c r="B60" s="7" t="s">
        <v>7</v>
      </c>
      <c r="C60" s="2" t="s">
        <v>428</v>
      </c>
      <c r="D60" s="16" t="s">
        <v>466</v>
      </c>
      <c r="E60" s="2" t="s">
        <v>311</v>
      </c>
      <c r="F60" s="10" t="s">
        <v>464</v>
      </c>
      <c r="G60" s="2">
        <v>5</v>
      </c>
      <c r="H60" s="4" t="s">
        <v>395</v>
      </c>
      <c r="I60" s="2">
        <v>652.00300000000004</v>
      </c>
      <c r="J60" s="2" t="s">
        <v>154</v>
      </c>
      <c r="K60" s="12"/>
      <c r="L60" s="6"/>
    </row>
    <row r="61" spans="1:13" s="8" customFormat="1" ht="45" customHeight="1" thickBot="1" x14ac:dyDescent="0.3">
      <c r="A61" s="3"/>
      <c r="B61" s="7" t="s">
        <v>7</v>
      </c>
      <c r="C61" s="2" t="s">
        <v>29</v>
      </c>
      <c r="D61" s="16" t="s">
        <v>430</v>
      </c>
      <c r="E61" s="2" t="s">
        <v>311</v>
      </c>
      <c r="F61" s="2" t="s">
        <v>429</v>
      </c>
      <c r="G61" s="2">
        <v>4</v>
      </c>
      <c r="H61" s="4" t="s">
        <v>395</v>
      </c>
      <c r="I61" s="2">
        <v>145.66999999999999</v>
      </c>
      <c r="J61" s="2" t="s">
        <v>154</v>
      </c>
      <c r="K61" s="12"/>
      <c r="L61" s="6"/>
    </row>
    <row r="62" spans="1:13" s="8" customFormat="1" ht="45" customHeight="1" thickBot="1" x14ac:dyDescent="0.3">
      <c r="A62" s="3"/>
      <c r="B62" s="7" t="s">
        <v>7</v>
      </c>
      <c r="C62" s="4" t="s">
        <v>433</v>
      </c>
      <c r="D62" s="15" t="s">
        <v>380</v>
      </c>
      <c r="E62" s="7" t="s">
        <v>311</v>
      </c>
      <c r="F62" s="2" t="s">
        <v>234</v>
      </c>
      <c r="G62" s="2">
        <v>5</v>
      </c>
      <c r="H62" s="7" t="s">
        <v>319</v>
      </c>
      <c r="I62" s="2">
        <v>58.11</v>
      </c>
      <c r="J62" s="2" t="s">
        <v>154</v>
      </c>
      <c r="K62" s="2"/>
      <c r="L62" s="12"/>
      <c r="M62" s="6" t="s">
        <v>434</v>
      </c>
    </row>
    <row r="63" spans="1:13" s="8" customFormat="1" ht="45" customHeight="1" thickBot="1" x14ac:dyDescent="0.3">
      <c r="A63" s="3"/>
      <c r="B63" s="7" t="s">
        <v>7</v>
      </c>
      <c r="C63" s="4" t="s">
        <v>435</v>
      </c>
      <c r="D63" s="15" t="s">
        <v>436</v>
      </c>
      <c r="E63" s="7" t="s">
        <v>311</v>
      </c>
      <c r="F63" s="2" t="s">
        <v>260</v>
      </c>
      <c r="G63" s="2">
        <v>5</v>
      </c>
      <c r="H63" s="7" t="s">
        <v>319</v>
      </c>
      <c r="I63" s="2">
        <v>88.52</v>
      </c>
      <c r="J63" s="2" t="s">
        <v>154</v>
      </c>
      <c r="K63" s="2"/>
      <c r="L63" s="12"/>
      <c r="M63" s="6" t="s">
        <v>434</v>
      </c>
    </row>
    <row r="64" spans="1:13" ht="45" customHeight="1" thickBot="1" x14ac:dyDescent="0.3">
      <c r="A64" s="9"/>
      <c r="B64" s="7" t="s">
        <v>7</v>
      </c>
      <c r="C64" s="4" t="s">
        <v>141</v>
      </c>
      <c r="D64" s="15" t="s">
        <v>116</v>
      </c>
      <c r="E64" s="7" t="s">
        <v>311</v>
      </c>
      <c r="F64" s="2" t="s">
        <v>495</v>
      </c>
      <c r="G64" s="2">
        <v>2</v>
      </c>
      <c r="H64" s="7" t="s">
        <v>338</v>
      </c>
      <c r="I64" s="4">
        <v>306.55</v>
      </c>
      <c r="J64" s="2" t="s">
        <v>154</v>
      </c>
      <c r="K64" s="4"/>
      <c r="L64" s="11"/>
      <c r="M64" s="5"/>
    </row>
    <row r="65" spans="1:13" ht="45" customHeight="1" thickBot="1" x14ac:dyDescent="0.3">
      <c r="A65" s="9"/>
      <c r="B65" s="7" t="s">
        <v>7</v>
      </c>
      <c r="C65" s="4" t="s">
        <v>141</v>
      </c>
      <c r="D65" s="15"/>
      <c r="E65" s="7" t="s">
        <v>311</v>
      </c>
      <c r="F65" s="2" t="s">
        <v>495</v>
      </c>
      <c r="G65" s="2">
        <v>5</v>
      </c>
      <c r="H65" s="7" t="s">
        <v>497</v>
      </c>
      <c r="I65" s="4">
        <v>70.66</v>
      </c>
      <c r="J65" s="2" t="s">
        <v>154</v>
      </c>
      <c r="K65" s="4"/>
      <c r="L65" s="11"/>
      <c r="M65" s="5"/>
    </row>
    <row r="66" spans="1:13" ht="45" customHeight="1" thickBot="1" x14ac:dyDescent="0.3">
      <c r="A66" s="9"/>
      <c r="B66" s="7" t="s">
        <v>7</v>
      </c>
      <c r="C66" s="4" t="s">
        <v>141</v>
      </c>
      <c r="D66" s="15"/>
      <c r="E66" s="7" t="s">
        <v>311</v>
      </c>
      <c r="F66" s="2" t="s">
        <v>495</v>
      </c>
      <c r="G66" s="2">
        <v>4</v>
      </c>
      <c r="H66" s="7" t="s">
        <v>496</v>
      </c>
      <c r="I66" s="4">
        <v>81.95</v>
      </c>
      <c r="J66" s="2" t="s">
        <v>154</v>
      </c>
      <c r="K66" s="4"/>
      <c r="L66" s="11"/>
      <c r="M66" s="5"/>
    </row>
    <row r="67" spans="1:13" ht="45" customHeight="1" thickBot="1" x14ac:dyDescent="0.3">
      <c r="A67" s="9"/>
      <c r="B67" s="7" t="s">
        <v>7</v>
      </c>
      <c r="C67" s="4" t="s">
        <v>141</v>
      </c>
      <c r="D67" s="15"/>
      <c r="E67" s="7" t="s">
        <v>311</v>
      </c>
      <c r="F67" s="2" t="s">
        <v>495</v>
      </c>
      <c r="G67" s="2">
        <v>3</v>
      </c>
      <c r="H67" s="7" t="s">
        <v>497</v>
      </c>
      <c r="I67" s="4">
        <v>276.08999999999997</v>
      </c>
      <c r="J67" s="2" t="s">
        <v>154</v>
      </c>
      <c r="K67" s="4"/>
      <c r="L67" s="11"/>
      <c r="M67" s="5"/>
    </row>
    <row r="68" spans="1:13" s="8" customFormat="1" ht="45" customHeight="1" thickBot="1" x14ac:dyDescent="0.3">
      <c r="A68" s="3"/>
      <c r="B68" s="7" t="s">
        <v>7</v>
      </c>
      <c r="C68" s="4" t="s">
        <v>501</v>
      </c>
      <c r="D68" s="15" t="s">
        <v>502</v>
      </c>
      <c r="E68" s="7" t="s">
        <v>311</v>
      </c>
      <c r="F68" s="2" t="s">
        <v>503</v>
      </c>
      <c r="G68" s="2">
        <v>4</v>
      </c>
      <c r="H68" s="7" t="s">
        <v>338</v>
      </c>
      <c r="I68" s="4">
        <v>127.45</v>
      </c>
      <c r="J68" s="2" t="s">
        <v>34</v>
      </c>
      <c r="K68" s="2"/>
      <c r="L68" s="12"/>
      <c r="M68" s="6"/>
    </row>
    <row r="69" spans="1:13" ht="45" customHeight="1" thickBot="1" x14ac:dyDescent="0.3">
      <c r="A69" s="9"/>
      <c r="B69" s="7"/>
      <c r="C69" s="4"/>
      <c r="D69" s="15"/>
      <c r="E69" s="7"/>
      <c r="F69" s="2"/>
      <c r="G69" s="2"/>
      <c r="H69" s="7"/>
      <c r="I69" s="4"/>
      <c r="J69" s="4"/>
      <c r="K69" s="4"/>
      <c r="L69" s="11"/>
      <c r="M69" s="5"/>
    </row>
    <row r="70" spans="1:13" ht="45" customHeight="1" thickBot="1" x14ac:dyDescent="0.3">
      <c r="A70" s="9"/>
      <c r="B70" s="7"/>
      <c r="C70" s="4"/>
      <c r="D70" s="15"/>
      <c r="E70" s="7"/>
      <c r="F70" s="2"/>
      <c r="G70" s="2"/>
      <c r="H70" s="7"/>
      <c r="I70" s="4"/>
      <c r="J70" s="4"/>
      <c r="K70" s="4"/>
      <c r="L70" s="11"/>
      <c r="M70" s="5"/>
    </row>
    <row r="71" spans="1:13" ht="45" customHeight="1" thickBot="1" x14ac:dyDescent="0.3">
      <c r="A71" s="9"/>
      <c r="B71" s="7"/>
      <c r="C71" s="4"/>
      <c r="D71" s="15"/>
      <c r="E71" s="7"/>
      <c r="F71" s="2"/>
      <c r="G71" s="2"/>
      <c r="H71" s="7"/>
      <c r="I71" s="4"/>
      <c r="J71" s="4"/>
      <c r="K71" s="4"/>
      <c r="L71" s="11"/>
      <c r="M71" s="5"/>
    </row>
    <row r="72" spans="1:13" ht="45" customHeight="1" thickBot="1" x14ac:dyDescent="0.3">
      <c r="A72" s="9"/>
      <c r="B72" s="7"/>
      <c r="C72" s="4"/>
      <c r="D72" s="15"/>
      <c r="E72" s="7"/>
      <c r="F72" s="2"/>
      <c r="G72" s="2"/>
      <c r="H72" s="7"/>
      <c r="I72" s="4"/>
      <c r="J72" s="4"/>
      <c r="K72" s="4"/>
      <c r="L72" s="11"/>
      <c r="M72" s="5"/>
    </row>
    <row r="73" spans="1:13" s="8" customFormat="1" ht="45" customHeight="1" thickBot="1" x14ac:dyDescent="0.3">
      <c r="A73" s="3"/>
      <c r="B73" s="7"/>
      <c r="C73" s="4"/>
      <c r="D73" s="15"/>
      <c r="E73" s="7"/>
      <c r="F73" s="2"/>
      <c r="G73" s="2"/>
      <c r="H73" s="7"/>
      <c r="I73" s="4"/>
      <c r="J73" s="2"/>
      <c r="K73" s="2"/>
      <c r="L73" s="12"/>
      <c r="M73" s="6"/>
    </row>
    <row r="74" spans="1:13" s="8" customFormat="1" ht="45" customHeight="1" thickBot="1" x14ac:dyDescent="0.3">
      <c r="A74" s="3"/>
      <c r="B74" s="7"/>
      <c r="C74" s="4"/>
      <c r="D74" s="15"/>
      <c r="E74" s="7"/>
      <c r="F74" s="2"/>
      <c r="G74" s="2"/>
      <c r="H74" s="7"/>
      <c r="I74" s="4"/>
      <c r="J74" s="2"/>
      <c r="K74" s="2"/>
      <c r="L74" s="12"/>
      <c r="M74" s="6"/>
    </row>
    <row r="75" spans="1:13" s="8" customFormat="1" ht="45" customHeight="1" thickBot="1" x14ac:dyDescent="0.3">
      <c r="A75" s="3"/>
      <c r="B75" s="7"/>
      <c r="C75" s="4"/>
      <c r="D75" s="15"/>
      <c r="E75" s="7"/>
      <c r="F75" s="2"/>
      <c r="G75" s="2"/>
      <c r="H75" s="7"/>
      <c r="I75" s="4"/>
      <c r="J75" s="2"/>
      <c r="K75" s="2"/>
      <c r="L75" s="12"/>
      <c r="M75" s="6"/>
    </row>
    <row r="76" spans="1:13" s="8" customFormat="1" ht="45" customHeight="1" thickBot="1" x14ac:dyDescent="0.3">
      <c r="A76" s="3"/>
      <c r="B76" s="7"/>
      <c r="C76" s="4"/>
      <c r="D76" s="15"/>
      <c r="E76" s="7"/>
      <c r="F76" s="2"/>
      <c r="G76" s="2"/>
      <c r="H76" s="7"/>
      <c r="I76" s="4"/>
      <c r="J76" s="2"/>
      <c r="K76" s="2"/>
      <c r="L76" s="12"/>
      <c r="M76" s="6"/>
    </row>
    <row r="77" spans="1:13" s="8" customFormat="1" ht="45" customHeight="1" thickBot="1" x14ac:dyDescent="0.3">
      <c r="A77" s="3"/>
      <c r="B77" s="7"/>
      <c r="C77" s="4"/>
      <c r="D77" s="15"/>
      <c r="E77" s="7"/>
      <c r="F77" s="2"/>
      <c r="G77" s="2"/>
      <c r="H77" s="7"/>
      <c r="I77" s="4"/>
      <c r="J77" s="2"/>
      <c r="K77" s="2"/>
      <c r="L77" s="12"/>
      <c r="M77" s="6"/>
    </row>
    <row r="78" spans="1:13" s="8" customFormat="1" ht="45" customHeight="1" thickBot="1" x14ac:dyDescent="0.3">
      <c r="A78" s="3"/>
      <c r="B78" s="7"/>
      <c r="C78" s="4"/>
      <c r="D78" s="15"/>
      <c r="E78" s="7"/>
      <c r="F78" s="2"/>
      <c r="G78" s="2"/>
      <c r="H78" s="7"/>
      <c r="I78" s="4"/>
      <c r="J78" s="2"/>
      <c r="K78" s="2"/>
      <c r="L78" s="12"/>
      <c r="M78" s="6"/>
    </row>
    <row r="79" spans="1:13" s="8" customFormat="1" ht="45" customHeight="1" thickBot="1" x14ac:dyDescent="0.3">
      <c r="A79" s="3"/>
      <c r="B79" s="7"/>
      <c r="C79" s="4"/>
      <c r="D79" s="15"/>
      <c r="E79" s="7"/>
      <c r="F79" s="2"/>
      <c r="G79" s="2"/>
      <c r="H79" s="7"/>
      <c r="I79" s="4"/>
      <c r="J79" s="2"/>
      <c r="K79" s="2"/>
      <c r="L79" s="12"/>
      <c r="M79" s="6"/>
    </row>
    <row r="80" spans="1:13" s="8" customFormat="1" ht="45" customHeight="1" thickBot="1" x14ac:dyDescent="0.3">
      <c r="A80" s="3"/>
      <c r="B80" s="7"/>
      <c r="C80" s="4"/>
      <c r="D80" s="15"/>
      <c r="E80" s="7"/>
      <c r="F80" s="2"/>
      <c r="G80" s="2"/>
      <c r="H80" s="4"/>
      <c r="I80" s="4"/>
      <c r="J80" s="2"/>
      <c r="K80" s="2"/>
      <c r="L80" s="12"/>
      <c r="M80" s="6"/>
    </row>
    <row r="81" spans="1:13" s="8" customFormat="1" ht="45" customHeight="1" thickBot="1" x14ac:dyDescent="0.3">
      <c r="A81" s="3"/>
      <c r="B81" s="7"/>
      <c r="C81" s="4"/>
      <c r="D81" s="15"/>
      <c r="E81" s="7"/>
      <c r="F81" s="2"/>
      <c r="G81" s="2"/>
      <c r="H81" s="7"/>
      <c r="I81" s="4"/>
      <c r="J81" s="2"/>
      <c r="K81" s="2"/>
      <c r="L81" s="12"/>
      <c r="M81" s="6"/>
    </row>
    <row r="82" spans="1:13" s="8" customFormat="1" ht="45" customHeight="1" thickBot="1" x14ac:dyDescent="0.3">
      <c r="A82" s="3"/>
      <c r="B82" s="7"/>
      <c r="C82" s="4"/>
      <c r="D82" s="10"/>
      <c r="E82" s="7"/>
      <c r="F82" s="2"/>
      <c r="G82" s="2"/>
      <c r="H82" s="4"/>
      <c r="I82" s="4"/>
      <c r="J82" s="2"/>
      <c r="K82" s="2"/>
      <c r="L82" s="12"/>
      <c r="M82" s="6"/>
    </row>
    <row r="83" spans="1:13" s="8" customFormat="1" ht="45" customHeight="1" thickBot="1" x14ac:dyDescent="0.3">
      <c r="A83" s="3"/>
      <c r="B83" s="7"/>
      <c r="C83" s="2"/>
      <c r="D83" s="10"/>
      <c r="E83" s="7"/>
      <c r="F83" s="2"/>
      <c r="G83" s="2"/>
      <c r="H83" s="4"/>
      <c r="I83" s="4"/>
      <c r="J83" s="2"/>
      <c r="K83" s="2"/>
      <c r="L83" s="12"/>
      <c r="M83" s="6"/>
    </row>
    <row r="84" spans="1:13" s="8" customFormat="1" ht="45" customHeight="1" thickBot="1" x14ac:dyDescent="0.3">
      <c r="A84" s="3"/>
      <c r="B84" s="7"/>
      <c r="C84" s="2"/>
      <c r="D84" s="15"/>
      <c r="E84" s="7"/>
      <c r="F84" s="2"/>
      <c r="G84" s="2"/>
      <c r="H84" s="7"/>
      <c r="I84" s="4"/>
      <c r="J84" s="2"/>
      <c r="K84" s="2"/>
      <c r="L84" s="12"/>
      <c r="M84" s="6"/>
    </row>
    <row r="85" spans="1:13" s="8" customFormat="1" ht="15.75" thickBot="1" x14ac:dyDescent="0.3">
      <c r="A85" s="3"/>
      <c r="B85" s="7"/>
      <c r="C85" s="2"/>
      <c r="D85" s="14"/>
      <c r="E85" s="7"/>
      <c r="F85" s="2"/>
      <c r="G85" s="2"/>
      <c r="H85" s="7"/>
      <c r="I85" s="4"/>
      <c r="J85" s="2"/>
      <c r="K85" s="2"/>
      <c r="L85" s="12"/>
      <c r="M85" s="6"/>
    </row>
    <row r="86" spans="1:13" s="8" customFormat="1" ht="15.75" thickBot="1" x14ac:dyDescent="0.3">
      <c r="A86" s="3"/>
      <c r="B86" s="7"/>
      <c r="C86" s="2"/>
      <c r="D86" s="14"/>
      <c r="E86" s="7"/>
      <c r="F86" s="2"/>
      <c r="G86" s="2"/>
      <c r="H86" s="7"/>
      <c r="I86" s="4"/>
      <c r="J86" s="2"/>
      <c r="K86" s="2"/>
      <c r="L86" s="12"/>
      <c r="M86" s="6"/>
    </row>
    <row r="87" spans="1:13" s="8" customFormat="1" ht="45" customHeight="1" thickBot="1" x14ac:dyDescent="0.3">
      <c r="A87" s="3"/>
      <c r="B87" s="7"/>
      <c r="C87" s="4"/>
      <c r="D87" s="15"/>
      <c r="E87" s="7"/>
      <c r="F87" s="2"/>
      <c r="G87" s="2"/>
      <c r="H87" s="7"/>
      <c r="I87" s="4"/>
      <c r="J87" s="2"/>
      <c r="K87" s="2"/>
      <c r="L87" s="12"/>
      <c r="M87" s="6"/>
    </row>
    <row r="88" spans="1:13" s="8" customFormat="1" ht="45" customHeight="1" thickBot="1" x14ac:dyDescent="0.3">
      <c r="A88" s="3"/>
      <c r="B88" s="7"/>
      <c r="C88" s="4"/>
      <c r="D88" s="15"/>
      <c r="E88" s="7"/>
      <c r="F88" s="2"/>
      <c r="G88" s="2"/>
      <c r="H88" s="7"/>
      <c r="I88" s="4"/>
      <c r="J88" s="2"/>
      <c r="K88" s="2"/>
      <c r="L88" s="12"/>
      <c r="M88" s="6"/>
    </row>
    <row r="89" spans="1:13" s="8" customFormat="1" ht="45" customHeight="1" thickBot="1" x14ac:dyDescent="0.3">
      <c r="A89" s="3"/>
      <c r="B89" s="7"/>
      <c r="C89" s="4"/>
      <c r="D89" s="15"/>
      <c r="E89" s="7"/>
      <c r="F89" s="2"/>
      <c r="G89" s="2"/>
      <c r="H89" s="7"/>
      <c r="I89" s="4"/>
      <c r="J89" s="2"/>
      <c r="K89" s="2"/>
      <c r="L89" s="12"/>
      <c r="M89" s="6"/>
    </row>
    <row r="90" spans="1:13" s="8" customFormat="1" ht="45" customHeight="1" thickBot="1" x14ac:dyDescent="0.3">
      <c r="A90" s="3"/>
      <c r="B90" s="7"/>
      <c r="C90" s="4"/>
      <c r="D90" s="15"/>
      <c r="E90" s="7"/>
      <c r="F90" s="2"/>
      <c r="G90" s="2"/>
      <c r="H90" s="7"/>
      <c r="I90" s="4"/>
      <c r="J90" s="2"/>
      <c r="K90" s="2"/>
      <c r="L90" s="12"/>
      <c r="M90" s="6"/>
    </row>
    <row r="91" spans="1:13" s="8" customFormat="1" ht="45" customHeight="1" thickBot="1" x14ac:dyDescent="0.3">
      <c r="A91" s="3"/>
      <c r="B91" s="7"/>
      <c r="C91" s="4"/>
      <c r="D91" s="15"/>
      <c r="E91" s="7"/>
      <c r="F91" s="2"/>
      <c r="G91" s="2"/>
      <c r="H91" s="7"/>
      <c r="I91" s="4"/>
      <c r="J91" s="2"/>
      <c r="K91" s="2"/>
      <c r="L91" s="12"/>
      <c r="M91" s="6"/>
    </row>
    <row r="92" spans="1:13" s="8" customFormat="1" ht="45" customHeight="1" thickBot="1" x14ac:dyDescent="0.3">
      <c r="A92" s="3"/>
      <c r="B92" s="7"/>
      <c r="C92" s="4"/>
      <c r="D92" s="15"/>
      <c r="E92" s="7"/>
      <c r="F92" s="2"/>
      <c r="G92" s="2"/>
      <c r="H92" s="7"/>
      <c r="I92" s="4"/>
      <c r="J92" s="2"/>
      <c r="K92" s="2"/>
      <c r="L92" s="12"/>
      <c r="M92" s="6"/>
    </row>
    <row r="93" spans="1:13" s="8" customFormat="1" ht="45" customHeight="1" thickBot="1" x14ac:dyDescent="0.3">
      <c r="A93" s="3"/>
      <c r="B93" s="7"/>
      <c r="C93" s="4"/>
      <c r="D93" s="15"/>
      <c r="E93" s="7"/>
      <c r="F93" s="2"/>
      <c r="G93" s="2"/>
      <c r="H93" s="7"/>
      <c r="I93" s="4"/>
      <c r="J93" s="2"/>
      <c r="K93" s="2"/>
      <c r="L93" s="12"/>
      <c r="M93" s="6"/>
    </row>
    <row r="94" spans="1:13" s="8" customFormat="1" ht="45" customHeight="1" thickBot="1" x14ac:dyDescent="0.3">
      <c r="A94" s="3"/>
      <c r="B94" s="7"/>
      <c r="C94" s="4"/>
      <c r="D94" s="15"/>
      <c r="E94" s="7"/>
      <c r="F94" s="2"/>
      <c r="G94" s="2"/>
      <c r="H94" s="7"/>
      <c r="I94" s="4"/>
      <c r="J94" s="2"/>
      <c r="K94" s="2"/>
      <c r="L94" s="12"/>
      <c r="M94" s="6"/>
    </row>
    <row r="95" spans="1:13" s="8" customFormat="1" ht="45" customHeight="1" thickBot="1" x14ac:dyDescent="0.3">
      <c r="A95" s="3"/>
      <c r="B95" s="7"/>
      <c r="C95" s="2"/>
      <c r="D95" s="10"/>
      <c r="E95" s="7"/>
      <c r="F95" s="2"/>
      <c r="G95" s="2"/>
      <c r="H95" s="7"/>
      <c r="I95" s="4"/>
      <c r="J95" s="2"/>
      <c r="K95" s="2"/>
      <c r="L95" s="12"/>
      <c r="M95" s="6"/>
    </row>
    <row r="96" spans="1:13" s="8" customFormat="1" ht="45" customHeight="1" thickBot="1" x14ac:dyDescent="0.3">
      <c r="A96" s="3"/>
      <c r="B96" s="7"/>
      <c r="C96" s="2"/>
      <c r="D96" s="10"/>
      <c r="E96" s="7"/>
      <c r="F96" s="2"/>
      <c r="G96" s="2"/>
      <c r="H96" s="7"/>
      <c r="I96" s="4"/>
      <c r="J96" s="2"/>
      <c r="K96" s="2"/>
      <c r="L96" s="12"/>
      <c r="M96" s="6"/>
    </row>
    <row r="97" spans="1:13" s="8" customFormat="1" ht="15.75" thickBot="1" x14ac:dyDescent="0.3">
      <c r="A97" s="3"/>
      <c r="B97" s="7"/>
      <c r="C97" s="2"/>
      <c r="D97" s="14"/>
      <c r="E97" s="7"/>
      <c r="F97" s="2"/>
      <c r="G97" s="2"/>
      <c r="H97" s="7"/>
      <c r="I97" s="4"/>
      <c r="J97" s="2"/>
      <c r="K97" s="2"/>
      <c r="L97" s="12"/>
      <c r="M97" s="6"/>
    </row>
    <row r="98" spans="1:13" s="8" customFormat="1" ht="15.75" thickBot="1" x14ac:dyDescent="0.3">
      <c r="A98" s="3"/>
      <c r="B98" s="7"/>
      <c r="C98" s="2"/>
      <c r="D98" s="14"/>
      <c r="E98" s="7"/>
      <c r="F98" s="2"/>
      <c r="G98" s="2"/>
      <c r="H98" s="7"/>
      <c r="I98" s="4"/>
      <c r="J98" s="2"/>
      <c r="K98" s="2"/>
      <c r="L98" s="12"/>
      <c r="M98" s="6"/>
    </row>
    <row r="99" spans="1:13" s="8" customFormat="1" ht="45" customHeight="1" thickBot="1" x14ac:dyDescent="0.3">
      <c r="A99" s="3"/>
      <c r="B99" s="7"/>
      <c r="C99" s="4"/>
      <c r="D99" s="15"/>
      <c r="E99" s="7"/>
      <c r="F99" s="2"/>
      <c r="G99" s="2"/>
      <c r="H99" s="7"/>
      <c r="I99" s="4"/>
      <c r="J99" s="2"/>
      <c r="K99" s="2"/>
      <c r="L99" s="12"/>
      <c r="M99" s="6"/>
    </row>
    <row r="100" spans="1:13" s="8" customFormat="1" ht="45" customHeight="1" thickBot="1" x14ac:dyDescent="0.3">
      <c r="A100" s="3"/>
      <c r="B100" s="7"/>
      <c r="C100" s="4"/>
      <c r="D100" s="15"/>
      <c r="E100" s="7"/>
      <c r="F100" s="2"/>
      <c r="G100" s="2"/>
      <c r="H100" s="7"/>
      <c r="I100" s="4"/>
      <c r="J100" s="2"/>
      <c r="K100" s="2"/>
      <c r="L100" s="12"/>
      <c r="M100" s="6"/>
    </row>
    <row r="101" spans="1:13" s="8" customFormat="1" ht="45" customHeight="1" thickBot="1" x14ac:dyDescent="0.3">
      <c r="A101" s="3"/>
      <c r="B101" s="7"/>
      <c r="C101" s="4"/>
      <c r="D101" s="15"/>
      <c r="E101" s="7"/>
      <c r="F101" s="2"/>
      <c r="G101" s="2"/>
      <c r="H101" s="7"/>
      <c r="I101" s="4"/>
      <c r="J101" s="2"/>
      <c r="K101" s="2"/>
      <c r="L101" s="12"/>
      <c r="M101" s="6"/>
    </row>
    <row r="102" spans="1:13" s="8" customFormat="1" ht="45" customHeight="1" thickBot="1" x14ac:dyDescent="0.3">
      <c r="A102" s="3"/>
      <c r="B102" s="7"/>
      <c r="C102" s="4"/>
      <c r="D102" s="15"/>
      <c r="E102" s="7"/>
      <c r="F102" s="2"/>
      <c r="G102" s="2"/>
      <c r="H102" s="7"/>
      <c r="I102" s="4"/>
      <c r="J102" s="2"/>
      <c r="K102" s="2"/>
      <c r="L102" s="12"/>
      <c r="M102" s="6"/>
    </row>
    <row r="103" spans="1:13" s="8" customFormat="1" ht="45" customHeight="1" thickBot="1" x14ac:dyDescent="0.3">
      <c r="A103" s="3"/>
      <c r="B103" s="7"/>
      <c r="C103" s="4"/>
      <c r="D103" s="15"/>
      <c r="E103" s="7"/>
      <c r="F103" s="2"/>
      <c r="G103" s="2"/>
      <c r="H103" s="7"/>
      <c r="I103" s="4"/>
      <c r="J103" s="2"/>
      <c r="K103" s="2"/>
      <c r="L103" s="12"/>
      <c r="M103" s="6"/>
    </row>
    <row r="104" spans="1:13" s="8" customFormat="1" ht="45" customHeight="1" thickBot="1" x14ac:dyDescent="0.3">
      <c r="A104" s="3"/>
      <c r="B104" s="7"/>
      <c r="C104" s="4"/>
      <c r="D104" s="15"/>
      <c r="E104" s="7"/>
      <c r="F104" s="2"/>
      <c r="G104" s="2"/>
      <c r="H104" s="2"/>
      <c r="I104" s="4"/>
      <c r="J104" s="2"/>
      <c r="K104" s="2"/>
      <c r="L104" s="12"/>
      <c r="M104" s="6"/>
    </row>
    <row r="105" spans="1:13" s="8" customFormat="1" ht="45" customHeight="1" thickBot="1" x14ac:dyDescent="0.3">
      <c r="A105" s="3"/>
      <c r="B105" s="7"/>
      <c r="C105" s="4"/>
      <c r="D105" s="15"/>
      <c r="E105" s="7"/>
      <c r="F105" s="2"/>
      <c r="G105" s="2"/>
      <c r="H105" s="2"/>
      <c r="I105" s="4"/>
      <c r="J105" s="2"/>
      <c r="K105" s="2"/>
      <c r="L105" s="12"/>
      <c r="M105" s="6"/>
    </row>
    <row r="106" spans="1:13" s="8" customFormat="1" ht="45" customHeight="1" thickBot="1" x14ac:dyDescent="0.3">
      <c r="A106" s="3"/>
      <c r="B106" s="7"/>
      <c r="C106" s="4"/>
      <c r="D106" s="15"/>
      <c r="E106" s="7"/>
      <c r="F106" s="2"/>
      <c r="G106" s="2"/>
      <c r="H106" s="2"/>
      <c r="I106" s="4"/>
      <c r="J106" s="2"/>
      <c r="K106" s="2"/>
      <c r="L106" s="12"/>
      <c r="M106" s="6"/>
    </row>
    <row r="107" spans="1:13" s="8" customFormat="1" ht="45" customHeight="1" thickBot="1" x14ac:dyDescent="0.3">
      <c r="A107" s="3"/>
      <c r="B107" s="7"/>
      <c r="C107" s="4"/>
      <c r="D107" s="15"/>
      <c r="E107" s="7"/>
      <c r="F107" s="2"/>
      <c r="G107" s="2"/>
      <c r="H107" s="2"/>
      <c r="I107" s="4"/>
      <c r="J107" s="2"/>
      <c r="K107" s="2"/>
      <c r="L107" s="12"/>
      <c r="M107" s="6"/>
    </row>
    <row r="108" spans="1:13" s="8" customFormat="1" ht="45" customHeight="1" thickBot="1" x14ac:dyDescent="0.3">
      <c r="A108" s="3"/>
      <c r="B108" s="7"/>
      <c r="C108" s="4"/>
      <c r="D108" s="10"/>
      <c r="E108" s="7"/>
      <c r="F108" s="2"/>
      <c r="G108" s="2"/>
      <c r="H108" s="2"/>
      <c r="I108" s="4"/>
      <c r="J108" s="2"/>
      <c r="K108" s="2"/>
      <c r="L108" s="12"/>
      <c r="M108" s="6"/>
    </row>
    <row r="109" spans="1:13" s="8" customFormat="1" ht="45" customHeight="1" thickBot="1" x14ac:dyDescent="0.3">
      <c r="A109" s="3"/>
      <c r="B109" s="7"/>
      <c r="C109" s="4"/>
      <c r="D109" s="16"/>
      <c r="E109" s="7"/>
      <c r="F109" s="2"/>
      <c r="G109" s="2"/>
      <c r="H109" s="2"/>
      <c r="I109" s="4"/>
      <c r="J109" s="2"/>
      <c r="K109" s="2"/>
      <c r="L109" s="12"/>
      <c r="M109" s="6"/>
    </row>
    <row r="110" spans="1:13" s="8" customFormat="1" ht="45" customHeight="1" thickBot="1" x14ac:dyDescent="0.3">
      <c r="A110" s="3"/>
      <c r="B110" s="7"/>
      <c r="C110" s="4"/>
      <c r="D110" s="16"/>
      <c r="E110" s="7"/>
      <c r="F110" s="2"/>
      <c r="G110" s="2"/>
      <c r="H110" s="2"/>
      <c r="I110" s="4"/>
      <c r="J110" s="2"/>
      <c r="K110" s="2"/>
      <c r="L110" s="12"/>
      <c r="M110" s="6"/>
    </row>
    <row r="111" spans="1:13" s="8" customFormat="1" ht="45" customHeight="1" thickBot="1" x14ac:dyDescent="0.3">
      <c r="A111" s="3"/>
      <c r="B111" s="7"/>
      <c r="C111" s="4"/>
      <c r="D111" s="15"/>
      <c r="E111" s="7"/>
      <c r="F111" s="2"/>
      <c r="G111" s="2"/>
      <c r="H111" s="2"/>
      <c r="I111" s="4"/>
      <c r="J111" s="2"/>
      <c r="K111" s="2"/>
      <c r="L111" s="12"/>
      <c r="M111" s="6"/>
    </row>
    <row r="112" spans="1:13" s="8" customFormat="1" ht="45" customHeight="1" thickBot="1" x14ac:dyDescent="0.3">
      <c r="A112" s="3"/>
      <c r="B112" s="7"/>
      <c r="C112" s="4"/>
      <c r="D112" s="15"/>
      <c r="E112" s="7"/>
      <c r="F112" s="2"/>
      <c r="G112" s="2"/>
      <c r="H112" s="2"/>
      <c r="I112" s="4"/>
      <c r="J112" s="2"/>
      <c r="K112" s="2"/>
      <c r="L112" s="12"/>
      <c r="M112" s="6"/>
    </row>
    <row r="113" spans="1:13" s="8" customFormat="1" ht="45" customHeight="1" thickBot="1" x14ac:dyDescent="0.3">
      <c r="A113" s="3"/>
      <c r="B113" s="7"/>
      <c r="C113" s="4"/>
      <c r="D113" s="16"/>
      <c r="E113" s="7"/>
      <c r="F113" s="2"/>
      <c r="G113" s="2"/>
      <c r="H113" s="2"/>
      <c r="I113" s="4"/>
      <c r="J113" s="2"/>
      <c r="K113" s="2"/>
      <c r="L113" s="12"/>
      <c r="M113" s="6"/>
    </row>
    <row r="114" spans="1:13" s="8" customFormat="1" ht="45" customHeight="1" thickBot="1" x14ac:dyDescent="0.3">
      <c r="A114" s="3"/>
      <c r="B114" s="7"/>
      <c r="C114" s="4"/>
      <c r="D114" s="15"/>
      <c r="E114" s="7"/>
      <c r="F114" s="2"/>
      <c r="G114" s="2"/>
      <c r="H114" s="2"/>
      <c r="I114" s="4"/>
      <c r="J114" s="2"/>
      <c r="K114" s="2"/>
      <c r="L114" s="12"/>
      <c r="M114" s="6"/>
    </row>
    <row r="115" spans="1:13" s="8" customFormat="1" ht="45" customHeight="1" thickBot="1" x14ac:dyDescent="0.3">
      <c r="A115" s="3"/>
      <c r="B115" s="7"/>
      <c r="C115" s="4"/>
      <c r="D115" s="15"/>
      <c r="E115" s="7"/>
      <c r="F115" s="2"/>
      <c r="G115" s="2"/>
      <c r="H115" s="2"/>
      <c r="I115" s="4"/>
      <c r="J115" s="2"/>
      <c r="K115" s="2"/>
      <c r="L115" s="12"/>
      <c r="M115" s="6"/>
    </row>
    <row r="116" spans="1:13" s="8" customFormat="1" ht="45" customHeight="1" thickBot="1" x14ac:dyDescent="0.3">
      <c r="A116" s="3"/>
      <c r="B116" s="7"/>
      <c r="C116" s="4"/>
      <c r="D116" s="15"/>
      <c r="E116" s="7"/>
      <c r="F116" s="2"/>
      <c r="G116" s="2"/>
      <c r="H116" s="2"/>
      <c r="I116" s="4"/>
      <c r="J116" s="2"/>
      <c r="K116" s="2"/>
      <c r="L116" s="12"/>
      <c r="M116" s="6"/>
    </row>
    <row r="117" spans="1:13" s="8" customFormat="1" ht="45" customHeight="1" thickBot="1" x14ac:dyDescent="0.3">
      <c r="A117" s="3"/>
      <c r="B117" s="7"/>
      <c r="C117" s="4"/>
      <c r="D117" s="15"/>
      <c r="E117" s="7"/>
      <c r="F117" s="2"/>
      <c r="G117" s="2"/>
      <c r="H117" s="2"/>
      <c r="I117" s="4"/>
      <c r="J117" s="2"/>
      <c r="K117" s="2"/>
      <c r="L117" s="12"/>
      <c r="M117" s="6"/>
    </row>
    <row r="118" spans="1:13" s="8" customFormat="1" ht="45" customHeight="1" thickBot="1" x14ac:dyDescent="0.3">
      <c r="A118" s="3"/>
      <c r="B118" s="7"/>
      <c r="C118" s="4"/>
      <c r="D118" s="15"/>
      <c r="E118" s="7"/>
      <c r="F118" s="2"/>
      <c r="G118" s="2"/>
      <c r="H118" s="2"/>
      <c r="I118" s="4"/>
      <c r="J118" s="2"/>
      <c r="K118" s="2"/>
      <c r="L118" s="12"/>
      <c r="M118" s="6"/>
    </row>
    <row r="119" spans="1:13" s="8" customFormat="1" ht="45" customHeight="1" thickBot="1" x14ac:dyDescent="0.3">
      <c r="A119" s="3"/>
      <c r="B119" s="7"/>
      <c r="C119" s="4"/>
      <c r="D119" s="15"/>
      <c r="E119" s="7"/>
      <c r="F119" s="2"/>
      <c r="G119" s="2"/>
      <c r="H119" s="2"/>
      <c r="I119" s="4"/>
      <c r="J119" s="2"/>
      <c r="K119" s="2"/>
      <c r="L119" s="12"/>
      <c r="M119" s="6"/>
    </row>
    <row r="120" spans="1:13" s="8" customFormat="1" ht="45" customHeight="1" thickBot="1" x14ac:dyDescent="0.3">
      <c r="A120" s="3"/>
      <c r="B120" s="7"/>
      <c r="C120" s="4"/>
      <c r="D120" s="15"/>
      <c r="E120" s="7"/>
      <c r="F120" s="2"/>
      <c r="G120" s="2"/>
      <c r="H120" s="2"/>
      <c r="I120" s="4"/>
      <c r="J120" s="2"/>
      <c r="K120" s="2"/>
      <c r="L120" s="12"/>
      <c r="M120" s="6"/>
    </row>
    <row r="121" spans="1:13" s="8" customFormat="1" ht="45" customHeight="1" thickBot="1" x14ac:dyDescent="0.3">
      <c r="A121" s="3"/>
      <c r="B121" s="7"/>
      <c r="C121" s="4"/>
      <c r="D121" s="15"/>
      <c r="E121" s="7"/>
      <c r="F121" s="2"/>
      <c r="G121" s="2"/>
      <c r="H121" s="2"/>
      <c r="I121" s="4"/>
      <c r="J121" s="2"/>
      <c r="K121" s="2"/>
      <c r="L121" s="12"/>
      <c r="M121" s="6"/>
    </row>
    <row r="122" spans="1:13" s="8" customFormat="1" ht="45" customHeight="1" thickBot="1" x14ac:dyDescent="0.3">
      <c r="A122" s="3"/>
      <c r="B122" s="7"/>
      <c r="C122" s="4"/>
      <c r="D122" s="15"/>
      <c r="E122" s="7"/>
      <c r="F122" s="2"/>
      <c r="G122" s="2"/>
      <c r="H122" s="2"/>
      <c r="I122" s="4"/>
      <c r="J122" s="2"/>
      <c r="K122" s="2"/>
      <c r="L122" s="12"/>
      <c r="M122" s="6"/>
    </row>
    <row r="123" spans="1:13" s="8" customFormat="1" ht="45" customHeight="1" thickBot="1" x14ac:dyDescent="0.3">
      <c r="A123" s="3"/>
      <c r="B123" s="7"/>
      <c r="C123" s="4"/>
      <c r="D123" s="15"/>
      <c r="E123" s="7"/>
      <c r="F123" s="2"/>
      <c r="G123" s="2"/>
      <c r="H123" s="2"/>
      <c r="I123" s="4"/>
      <c r="J123" s="2"/>
      <c r="K123" s="2"/>
      <c r="L123" s="12"/>
      <c r="M123" s="6"/>
    </row>
    <row r="124" spans="1:13" s="8" customFormat="1" ht="45" customHeight="1" thickBot="1" x14ac:dyDescent="0.3">
      <c r="A124" s="3"/>
      <c r="B124" s="7"/>
      <c r="C124" s="4"/>
      <c r="D124" s="15"/>
      <c r="E124" s="7"/>
      <c r="F124" s="2"/>
      <c r="G124" s="2"/>
      <c r="H124" s="2"/>
      <c r="I124" s="4"/>
      <c r="J124" s="2"/>
      <c r="K124" s="2"/>
      <c r="L124" s="12"/>
      <c r="M124" s="6"/>
    </row>
    <row r="125" spans="1:13" s="8" customFormat="1" ht="45" customHeight="1" thickBot="1" x14ac:dyDescent="0.3">
      <c r="A125" s="3"/>
      <c r="B125" s="7"/>
      <c r="C125" s="4"/>
      <c r="D125" s="15"/>
      <c r="E125" s="7"/>
      <c r="F125" s="2"/>
      <c r="G125" s="2"/>
      <c r="H125" s="2"/>
      <c r="I125" s="4"/>
      <c r="J125" s="2"/>
      <c r="K125" s="2"/>
      <c r="L125" s="12"/>
      <c r="M125" s="6"/>
    </row>
    <row r="126" spans="1:13" s="8" customFormat="1" ht="45" customHeight="1" thickBot="1" x14ac:dyDescent="0.3">
      <c r="A126" s="3"/>
      <c r="B126" s="7"/>
      <c r="C126" s="4"/>
      <c r="D126" s="15"/>
      <c r="E126" s="7"/>
      <c r="F126" s="2"/>
      <c r="G126" s="2"/>
      <c r="H126" s="2"/>
      <c r="I126" s="4"/>
      <c r="J126" s="2"/>
      <c r="K126" s="2"/>
      <c r="L126" s="12"/>
      <c r="M126" s="6"/>
    </row>
    <row r="127" spans="1:13" s="8" customFormat="1" ht="45" customHeight="1" thickBot="1" x14ac:dyDescent="0.3">
      <c r="A127" s="3"/>
      <c r="B127" s="7"/>
      <c r="C127" s="4"/>
      <c r="D127" s="10"/>
      <c r="E127" s="7"/>
      <c r="F127" s="2"/>
      <c r="G127" s="2"/>
      <c r="H127" s="2"/>
      <c r="I127" s="4"/>
      <c r="J127" s="2"/>
      <c r="K127" s="2"/>
      <c r="L127" s="12"/>
      <c r="M127" s="6"/>
    </row>
    <row r="128" spans="1:13" s="8" customFormat="1" ht="45" customHeight="1" thickBot="1" x14ac:dyDescent="0.3">
      <c r="A128" s="3"/>
      <c r="B128" s="7"/>
      <c r="C128" s="4"/>
      <c r="D128" s="10"/>
      <c r="E128" s="7"/>
      <c r="F128" s="2"/>
      <c r="G128" s="2"/>
      <c r="H128" s="2"/>
      <c r="I128" s="4"/>
      <c r="J128" s="2"/>
      <c r="K128" s="2"/>
      <c r="L128" s="12"/>
      <c r="M128" s="6"/>
    </row>
    <row r="129" spans="1:13" s="8" customFormat="1" ht="45" customHeight="1" thickBot="1" x14ac:dyDescent="0.3">
      <c r="A129" s="3"/>
      <c r="B129" s="7"/>
      <c r="C129" s="4"/>
      <c r="D129" s="10"/>
      <c r="E129" s="7"/>
      <c r="F129" s="2"/>
      <c r="G129" s="2"/>
      <c r="H129" s="2"/>
      <c r="I129" s="4"/>
      <c r="J129" s="2"/>
      <c r="K129" s="2"/>
      <c r="L129" s="12"/>
      <c r="M129" s="6"/>
    </row>
    <row r="130" spans="1:13" s="8" customFormat="1" ht="45" customHeight="1" thickBot="1" x14ac:dyDescent="0.3">
      <c r="A130" s="3"/>
      <c r="B130" s="7"/>
      <c r="C130" s="2"/>
      <c r="D130" s="15"/>
      <c r="E130" s="2"/>
      <c r="F130" s="2"/>
      <c r="G130" s="2"/>
      <c r="H130" s="2"/>
      <c r="I130" s="4"/>
      <c r="J130" s="2"/>
      <c r="K130" s="2"/>
      <c r="L130" s="12"/>
      <c r="M130" s="6"/>
    </row>
    <row r="131" spans="1:13" s="8" customFormat="1" ht="45" customHeight="1" thickBot="1" x14ac:dyDescent="0.3">
      <c r="A131" s="3"/>
      <c r="B131" s="7"/>
      <c r="C131" s="2"/>
      <c r="D131" s="15"/>
      <c r="E131" s="2"/>
      <c r="F131" s="2"/>
      <c r="G131" s="2"/>
      <c r="H131" s="2"/>
      <c r="I131" s="4"/>
      <c r="J131" s="2"/>
      <c r="K131" s="2"/>
      <c r="L131" s="12"/>
      <c r="M131" s="6"/>
    </row>
    <row r="132" spans="1:13" s="8" customFormat="1" ht="45" customHeight="1" thickBot="1" x14ac:dyDescent="0.3">
      <c r="A132" s="3"/>
      <c r="B132" s="7"/>
      <c r="C132" s="2"/>
      <c r="D132" s="15"/>
      <c r="E132" s="2"/>
      <c r="F132" s="2"/>
      <c r="G132" s="2"/>
      <c r="H132" s="2"/>
      <c r="I132" s="4"/>
      <c r="J132" s="2"/>
      <c r="K132" s="2"/>
      <c r="L132" s="12"/>
      <c r="M132" s="6"/>
    </row>
    <row r="133" spans="1:13" s="8" customFormat="1" ht="45" customHeight="1" thickBot="1" x14ac:dyDescent="0.3">
      <c r="A133" s="3"/>
      <c r="B133" s="7"/>
      <c r="C133" s="4"/>
      <c r="D133" s="15"/>
      <c r="E133" s="2"/>
      <c r="F133" s="2"/>
      <c r="G133" s="2"/>
      <c r="H133" s="2"/>
      <c r="I133" s="4"/>
      <c r="J133" s="2"/>
      <c r="K133" s="2"/>
      <c r="L133" s="12"/>
      <c r="M133" s="6"/>
    </row>
    <row r="134" spans="1:13" s="8" customFormat="1" ht="45" customHeight="1" thickBot="1" x14ac:dyDescent="0.3">
      <c r="A134" s="3"/>
      <c r="B134" s="7"/>
      <c r="C134" s="2"/>
      <c r="D134" s="15"/>
      <c r="E134" s="7"/>
      <c r="F134" s="2"/>
      <c r="G134" s="2"/>
      <c r="H134" s="2"/>
      <c r="I134" s="4"/>
      <c r="J134" s="2"/>
      <c r="K134" s="2"/>
      <c r="L134" s="12"/>
      <c r="M134" s="6"/>
    </row>
    <row r="135" spans="1:13" s="8" customFormat="1" ht="45" customHeight="1" thickBot="1" x14ac:dyDescent="0.3">
      <c r="A135" s="3"/>
      <c r="B135" s="7"/>
      <c r="C135" s="2"/>
      <c r="D135" s="15"/>
      <c r="E135" s="7"/>
      <c r="F135" s="2"/>
      <c r="G135" s="2"/>
      <c r="H135" s="2"/>
      <c r="I135" s="4"/>
      <c r="J135" s="2"/>
      <c r="K135" s="2"/>
      <c r="L135" s="12"/>
      <c r="M135" s="6"/>
    </row>
    <row r="136" spans="1:13" s="8" customFormat="1" ht="45" customHeight="1" thickBot="1" x14ac:dyDescent="0.3">
      <c r="A136" s="3"/>
      <c r="B136" s="7"/>
      <c r="C136" s="2"/>
      <c r="D136" s="15"/>
      <c r="E136" s="7"/>
      <c r="F136" s="2"/>
      <c r="G136" s="2"/>
      <c r="H136" s="2"/>
      <c r="I136" s="4"/>
      <c r="J136" s="2"/>
      <c r="K136" s="2"/>
      <c r="L136" s="12"/>
      <c r="M136" s="6"/>
    </row>
    <row r="137" spans="1:13" s="8" customFormat="1" ht="45" customHeight="1" thickBot="1" x14ac:dyDescent="0.3">
      <c r="A137" s="3"/>
      <c r="B137" s="7"/>
      <c r="C137" s="2"/>
      <c r="D137" s="15"/>
      <c r="E137" s="7"/>
      <c r="F137" s="2"/>
      <c r="G137" s="2"/>
      <c r="H137" s="2"/>
      <c r="I137" s="4"/>
      <c r="J137" s="2"/>
      <c r="K137" s="2"/>
      <c r="L137" s="12"/>
      <c r="M137" s="6"/>
    </row>
    <row r="138" spans="1:13" s="8" customFormat="1" ht="45" customHeight="1" thickBot="1" x14ac:dyDescent="0.3">
      <c r="A138" s="3"/>
      <c r="B138" s="7"/>
      <c r="C138" s="2"/>
      <c r="D138" s="15"/>
      <c r="E138" s="7"/>
      <c r="F138" s="2"/>
      <c r="G138" s="2"/>
      <c r="H138" s="2"/>
      <c r="I138" s="4"/>
      <c r="J138" s="2"/>
      <c r="K138" s="2"/>
      <c r="L138" s="12"/>
      <c r="M138" s="6"/>
    </row>
    <row r="139" spans="1:13" s="8" customFormat="1" ht="45" customHeight="1" thickBot="1" x14ac:dyDescent="0.3">
      <c r="A139" s="3"/>
      <c r="B139" s="7"/>
      <c r="C139" s="2"/>
      <c r="D139" s="15"/>
      <c r="E139" s="2"/>
      <c r="F139" s="2"/>
      <c r="G139" s="2"/>
      <c r="H139" s="2"/>
      <c r="I139" s="4"/>
      <c r="J139" s="2"/>
      <c r="K139" s="2"/>
      <c r="L139" s="12"/>
      <c r="M139" s="6"/>
    </row>
    <row r="140" spans="1:13" s="8" customFormat="1" ht="45" customHeight="1" thickBot="1" x14ac:dyDescent="0.3">
      <c r="A140" s="3"/>
      <c r="B140" s="7"/>
      <c r="C140" s="2"/>
      <c r="D140" s="15"/>
      <c r="E140" s="2"/>
      <c r="F140" s="2"/>
      <c r="G140" s="2"/>
      <c r="H140" s="2"/>
      <c r="I140" s="4"/>
      <c r="J140" s="2"/>
      <c r="K140" s="2"/>
      <c r="L140" s="12"/>
      <c r="M140" s="6"/>
    </row>
    <row r="141" spans="1:13" s="8" customFormat="1" ht="45" customHeight="1" thickBot="1" x14ac:dyDescent="0.3">
      <c r="A141" s="3"/>
      <c r="B141" s="7"/>
      <c r="C141" s="2"/>
      <c r="D141" s="15"/>
      <c r="E141" s="2"/>
      <c r="F141" s="2"/>
      <c r="G141" s="2"/>
      <c r="H141" s="2"/>
      <c r="I141" s="4"/>
      <c r="J141" s="2"/>
      <c r="K141" s="2"/>
      <c r="L141" s="12"/>
      <c r="M141" s="6"/>
    </row>
    <row r="142" spans="1:13" s="8" customFormat="1" ht="45" customHeight="1" thickBot="1" x14ac:dyDescent="0.3">
      <c r="A142" s="3"/>
      <c r="B142" s="7"/>
      <c r="C142" s="2"/>
      <c r="D142" s="15"/>
      <c r="E142" s="2"/>
      <c r="F142" s="2"/>
      <c r="G142" s="2"/>
      <c r="H142" s="2"/>
      <c r="I142" s="4"/>
      <c r="J142" s="2"/>
      <c r="K142" s="2"/>
      <c r="L142" s="12"/>
      <c r="M142" s="6"/>
    </row>
    <row r="143" spans="1:13" s="8" customFormat="1" ht="45" customHeight="1" thickBot="1" x14ac:dyDescent="0.3">
      <c r="A143" s="3"/>
      <c r="B143" s="7"/>
      <c r="C143" s="2"/>
      <c r="D143" s="15"/>
      <c r="E143" s="2"/>
      <c r="F143" s="2"/>
      <c r="G143" s="2"/>
      <c r="H143" s="2"/>
      <c r="I143" s="4"/>
      <c r="J143" s="2"/>
      <c r="K143" s="2"/>
      <c r="L143" s="12"/>
      <c r="M143" s="6"/>
    </row>
    <row r="144" spans="1:13" s="8" customFormat="1" ht="45" customHeight="1" thickBot="1" x14ac:dyDescent="0.3">
      <c r="A144" s="3"/>
      <c r="B144" s="7"/>
      <c r="C144" s="2"/>
      <c r="D144" s="15"/>
      <c r="E144" s="2"/>
      <c r="F144" s="2"/>
      <c r="G144" s="2"/>
      <c r="H144" s="2"/>
      <c r="I144" s="4"/>
      <c r="J144" s="2"/>
      <c r="K144" s="2"/>
      <c r="L144" s="12"/>
      <c r="M144" s="6"/>
    </row>
    <row r="145" spans="1:13" s="8" customFormat="1" ht="45" customHeight="1" thickBot="1" x14ac:dyDescent="0.3">
      <c r="A145" s="3"/>
      <c r="B145" s="7"/>
      <c r="C145" s="2"/>
      <c r="D145" s="15"/>
      <c r="E145" s="2"/>
      <c r="F145" s="2"/>
      <c r="G145" s="2"/>
      <c r="H145" s="2"/>
      <c r="I145" s="4"/>
      <c r="J145" s="2"/>
      <c r="K145" s="2"/>
      <c r="L145" s="12"/>
      <c r="M145" s="6"/>
    </row>
    <row r="146" spans="1:13" s="8" customFormat="1" ht="45" customHeight="1" thickBot="1" x14ac:dyDescent="0.3">
      <c r="A146" s="3"/>
      <c r="B146" s="7"/>
      <c r="C146" s="2"/>
      <c r="D146" s="15"/>
      <c r="E146" s="2"/>
      <c r="F146" s="2"/>
      <c r="G146" s="2"/>
      <c r="H146" s="2"/>
      <c r="I146" s="4"/>
      <c r="J146" s="2"/>
      <c r="K146" s="2"/>
      <c r="L146" s="12"/>
      <c r="M146" s="6"/>
    </row>
    <row r="147" spans="1:13" s="8" customFormat="1" ht="45" customHeight="1" thickBot="1" x14ac:dyDescent="0.3">
      <c r="A147" s="3"/>
      <c r="B147" s="7"/>
      <c r="C147" s="2"/>
      <c r="D147" s="15"/>
      <c r="E147" s="2"/>
      <c r="F147" s="2"/>
      <c r="G147" s="2"/>
      <c r="H147" s="2"/>
      <c r="I147" s="4"/>
      <c r="J147" s="2"/>
      <c r="K147" s="2"/>
      <c r="L147" s="12"/>
      <c r="M147" s="6"/>
    </row>
    <row r="148" spans="1:13" s="8" customFormat="1" ht="45" customHeight="1" thickBot="1" x14ac:dyDescent="0.3">
      <c r="A148" s="3"/>
      <c r="B148" s="7"/>
      <c r="C148" s="2"/>
      <c r="D148" s="10"/>
      <c r="E148" s="2"/>
      <c r="F148" s="2"/>
      <c r="G148" s="2"/>
      <c r="H148" s="2"/>
      <c r="I148" s="4"/>
      <c r="J148" s="2"/>
      <c r="K148" s="2"/>
      <c r="L148" s="12"/>
      <c r="M148" s="6"/>
    </row>
    <row r="149" spans="1:13" s="8" customFormat="1" ht="45" customHeight="1" thickBot="1" x14ac:dyDescent="0.3">
      <c r="A149" s="3"/>
      <c r="B149" s="7"/>
      <c r="C149" s="2"/>
      <c r="D149" s="10"/>
      <c r="E149" s="2"/>
      <c r="F149" s="2"/>
      <c r="G149" s="2"/>
      <c r="H149" s="2"/>
      <c r="I149" s="4"/>
      <c r="J149" s="2"/>
      <c r="K149" s="2"/>
      <c r="L149" s="12"/>
      <c r="M149" s="6"/>
    </row>
    <row r="150" spans="1:13" s="8" customFormat="1" ht="45" customHeight="1" thickBot="1" x14ac:dyDescent="0.3">
      <c r="A150" s="3"/>
      <c r="B150" s="7"/>
      <c r="C150" s="2"/>
      <c r="D150" s="10"/>
      <c r="E150" s="2"/>
      <c r="F150" s="2"/>
      <c r="G150" s="2"/>
      <c r="H150" s="2"/>
      <c r="I150" s="4"/>
      <c r="J150" s="2"/>
      <c r="K150" s="2"/>
      <c r="L150" s="12"/>
      <c r="M150" s="6"/>
    </row>
    <row r="151" spans="1:13" s="8" customFormat="1" ht="45" customHeight="1" thickBot="1" x14ac:dyDescent="0.3">
      <c r="A151" s="3"/>
      <c r="B151" s="7"/>
      <c r="C151" s="2"/>
      <c r="D151" s="15"/>
      <c r="E151" s="2"/>
      <c r="F151" s="2"/>
      <c r="G151" s="2"/>
      <c r="H151" s="2"/>
      <c r="I151" s="4"/>
      <c r="J151" s="2"/>
      <c r="K151" s="2"/>
      <c r="L151" s="12"/>
      <c r="M151" s="6"/>
    </row>
    <row r="152" spans="1:13" s="8" customFormat="1" ht="45" customHeight="1" thickBot="1" x14ac:dyDescent="0.3">
      <c r="A152" s="3"/>
      <c r="B152" s="7"/>
      <c r="C152" s="2"/>
      <c r="D152" s="10"/>
      <c r="E152" s="2"/>
      <c r="F152" s="2"/>
      <c r="G152" s="2"/>
      <c r="H152" s="2"/>
      <c r="I152" s="4"/>
      <c r="J152" s="2"/>
      <c r="K152" s="2"/>
      <c r="L152" s="12"/>
      <c r="M152" s="6"/>
    </row>
    <row r="153" spans="1:13" s="8" customFormat="1" ht="45" customHeight="1" thickBot="1" x14ac:dyDescent="0.3">
      <c r="A153" s="3"/>
      <c r="B153" s="7"/>
      <c r="C153" s="2"/>
      <c r="D153" s="15"/>
      <c r="E153" s="2"/>
      <c r="F153" s="2"/>
      <c r="G153" s="2"/>
      <c r="H153" s="2"/>
      <c r="I153" s="4"/>
      <c r="J153" s="2"/>
      <c r="K153" s="2"/>
      <c r="L153" s="12"/>
      <c r="M153" s="6"/>
    </row>
    <row r="154" spans="1:13" s="8" customFormat="1" ht="45" customHeight="1" thickBot="1" x14ac:dyDescent="0.3">
      <c r="A154" s="3"/>
      <c r="B154" s="7"/>
      <c r="C154" s="2"/>
      <c r="D154" s="10"/>
      <c r="E154" s="2"/>
      <c r="F154" s="2"/>
      <c r="G154" s="2"/>
      <c r="H154" s="2"/>
      <c r="I154" s="4"/>
      <c r="J154" s="2"/>
      <c r="K154" s="2"/>
      <c r="L154" s="12"/>
      <c r="M154" s="6"/>
    </row>
    <row r="155" spans="1:13" s="8" customFormat="1" ht="45" customHeight="1" thickBot="1" x14ac:dyDescent="0.3">
      <c r="A155" s="3"/>
      <c r="B155" s="7"/>
      <c r="C155" s="2"/>
      <c r="D155" s="15"/>
      <c r="E155" s="2"/>
      <c r="F155" s="2"/>
      <c r="G155" s="2"/>
      <c r="H155" s="2"/>
      <c r="I155" s="4"/>
      <c r="J155" s="2"/>
      <c r="K155" s="2"/>
      <c r="L155" s="12"/>
      <c r="M155" s="6"/>
    </row>
    <row r="156" spans="1:13" s="8" customFormat="1" ht="45" customHeight="1" thickBot="1" x14ac:dyDescent="0.3">
      <c r="A156" s="3"/>
      <c r="B156" s="7"/>
      <c r="C156" s="2"/>
      <c r="D156" s="15"/>
      <c r="E156" s="2"/>
      <c r="F156" s="2"/>
      <c r="G156" s="2"/>
      <c r="H156" s="2"/>
      <c r="I156" s="4"/>
      <c r="J156" s="2"/>
      <c r="K156" s="2"/>
      <c r="L156" s="12"/>
      <c r="M156" s="6"/>
    </row>
    <row r="157" spans="1:13" s="8" customFormat="1" ht="45" customHeight="1" thickBot="1" x14ac:dyDescent="0.3">
      <c r="A157" s="3"/>
      <c r="B157" s="7"/>
      <c r="C157" s="2"/>
      <c r="D157" s="15"/>
      <c r="E157" s="2"/>
      <c r="F157" s="2"/>
      <c r="G157" s="2"/>
      <c r="H157" s="2"/>
      <c r="I157" s="4"/>
      <c r="J157" s="2"/>
      <c r="K157" s="2"/>
      <c r="L157" s="12"/>
      <c r="M157" s="6"/>
    </row>
    <row r="158" spans="1:13" s="8" customFormat="1" ht="45" customHeight="1" thickBot="1" x14ac:dyDescent="0.3">
      <c r="A158" s="3"/>
      <c r="B158" s="7"/>
      <c r="C158" s="2"/>
      <c r="D158" s="15"/>
      <c r="E158" s="2"/>
      <c r="F158" s="2"/>
      <c r="G158" s="2"/>
      <c r="H158" s="2"/>
      <c r="I158" s="4"/>
      <c r="J158" s="2"/>
      <c r="K158" s="2"/>
      <c r="L158" s="12"/>
      <c r="M158" s="6"/>
    </row>
    <row r="159" spans="1:13" s="8" customFormat="1" ht="45" customHeight="1" thickBot="1" x14ac:dyDescent="0.3">
      <c r="A159" s="3"/>
      <c r="B159" s="7"/>
      <c r="C159" s="2"/>
      <c r="D159" s="15"/>
      <c r="E159" s="2"/>
      <c r="F159" s="2"/>
      <c r="G159" s="2"/>
      <c r="H159" s="2"/>
      <c r="I159" s="4"/>
      <c r="J159" s="2"/>
      <c r="K159" s="2"/>
      <c r="L159" s="12"/>
      <c r="M159" s="6"/>
    </row>
    <row r="160" spans="1:13" s="8" customFormat="1" ht="45" customHeight="1" thickBot="1" x14ac:dyDescent="0.3">
      <c r="A160" s="3"/>
      <c r="B160" s="7"/>
      <c r="C160" s="2"/>
      <c r="D160" s="15"/>
      <c r="E160" s="2"/>
      <c r="F160" s="2"/>
      <c r="G160" s="2"/>
      <c r="H160" s="2"/>
      <c r="I160" s="4"/>
      <c r="J160" s="2"/>
      <c r="K160" s="2"/>
      <c r="L160" s="12"/>
      <c r="M160" s="6"/>
    </row>
    <row r="161" spans="1:13" s="8" customFormat="1" ht="45" customHeight="1" thickBot="1" x14ac:dyDescent="0.3">
      <c r="A161" s="3"/>
      <c r="B161" s="7"/>
      <c r="C161" s="2"/>
      <c r="D161" s="15"/>
      <c r="E161" s="2"/>
      <c r="F161" s="2"/>
      <c r="G161" s="2"/>
      <c r="H161" s="2"/>
      <c r="I161" s="4"/>
      <c r="J161" s="2"/>
      <c r="K161" s="2"/>
      <c r="L161" s="12"/>
      <c r="M161" s="6"/>
    </row>
    <row r="162" spans="1:13" s="8" customFormat="1" ht="45" customHeight="1" thickBot="1" x14ac:dyDescent="0.3">
      <c r="A162" s="3"/>
      <c r="B162" s="7"/>
      <c r="C162" s="2"/>
      <c r="D162" s="15"/>
      <c r="E162" s="2"/>
      <c r="F162" s="2"/>
      <c r="G162" s="2"/>
      <c r="H162" s="2"/>
      <c r="I162" s="4"/>
      <c r="J162" s="2"/>
      <c r="K162" s="2"/>
      <c r="L162" s="12"/>
      <c r="M162" s="6"/>
    </row>
    <row r="163" spans="1:13" s="8" customFormat="1" ht="45" customHeight="1" thickBot="1" x14ac:dyDescent="0.3">
      <c r="A163" s="3"/>
      <c r="B163" s="7"/>
      <c r="C163" s="2"/>
      <c r="D163" s="10"/>
      <c r="E163" s="2"/>
      <c r="F163" s="2"/>
      <c r="G163" s="2"/>
      <c r="H163" s="2"/>
      <c r="I163" s="4"/>
      <c r="J163" s="2"/>
      <c r="K163" s="2"/>
      <c r="L163" s="12"/>
      <c r="M163" s="6"/>
    </row>
    <row r="164" spans="1:13" s="8" customFormat="1" ht="45" customHeight="1" thickBot="1" x14ac:dyDescent="0.3">
      <c r="A164" s="3"/>
      <c r="B164" s="7"/>
      <c r="C164" s="2"/>
      <c r="D164" s="15"/>
      <c r="E164" s="2"/>
      <c r="F164" s="2"/>
      <c r="G164" s="2"/>
      <c r="H164" s="2"/>
      <c r="I164" s="4"/>
      <c r="J164" s="2"/>
      <c r="K164" s="2"/>
      <c r="L164" s="12"/>
      <c r="M164" s="6"/>
    </row>
    <row r="165" spans="1:13" s="8" customFormat="1" ht="45" customHeight="1" thickBot="1" x14ac:dyDescent="0.3">
      <c r="A165" s="3"/>
      <c r="B165" s="7"/>
      <c r="C165" s="2"/>
      <c r="D165" s="15"/>
      <c r="E165" s="2"/>
      <c r="F165" s="2"/>
      <c r="G165" s="2"/>
      <c r="H165" s="2"/>
      <c r="I165" s="4"/>
      <c r="J165" s="2"/>
      <c r="K165" s="2"/>
      <c r="L165" s="12"/>
      <c r="M165" s="6"/>
    </row>
    <row r="166" spans="1:13" s="8" customFormat="1" ht="45" customHeight="1" thickBot="1" x14ac:dyDescent="0.3">
      <c r="A166" s="3"/>
      <c r="B166" s="7"/>
      <c r="C166" s="2"/>
      <c r="D166" s="15"/>
      <c r="E166" s="2"/>
      <c r="F166" s="2"/>
      <c r="G166" s="2"/>
      <c r="H166" s="2"/>
      <c r="I166" s="4"/>
      <c r="J166" s="2"/>
      <c r="K166" s="2"/>
      <c r="L166" s="12"/>
      <c r="M166" s="6"/>
    </row>
    <row r="167" spans="1:13" s="8" customFormat="1" ht="45" customHeight="1" thickBot="1" x14ac:dyDescent="0.3">
      <c r="A167" s="3"/>
      <c r="B167" s="7"/>
      <c r="C167" s="2"/>
      <c r="D167" s="15"/>
      <c r="E167" s="2"/>
      <c r="F167" s="2"/>
      <c r="G167" s="2"/>
      <c r="H167" s="2"/>
      <c r="I167" s="4"/>
      <c r="J167" s="2"/>
      <c r="K167" s="2"/>
      <c r="L167" s="12"/>
      <c r="M167" s="6"/>
    </row>
    <row r="168" spans="1:13" s="8" customFormat="1" ht="45" customHeight="1" thickBot="1" x14ac:dyDescent="0.3">
      <c r="A168" s="3"/>
      <c r="B168" s="7"/>
      <c r="C168" s="2"/>
      <c r="D168" s="15"/>
      <c r="E168" s="2"/>
      <c r="F168" s="2"/>
      <c r="G168" s="2"/>
      <c r="H168" s="2"/>
      <c r="I168" s="4"/>
      <c r="J168" s="2"/>
      <c r="K168" s="2"/>
      <c r="L168" s="12"/>
      <c r="M168" s="6"/>
    </row>
    <row r="169" spans="1:13" s="8" customFormat="1" ht="45" customHeight="1" thickBot="1" x14ac:dyDescent="0.3">
      <c r="A169" s="3"/>
      <c r="B169" s="7"/>
      <c r="C169" s="2"/>
      <c r="D169" s="15"/>
      <c r="E169" s="2"/>
      <c r="F169" s="2"/>
      <c r="G169" s="2"/>
      <c r="H169" s="2"/>
      <c r="I169" s="4"/>
      <c r="J169" s="2"/>
      <c r="K169" s="2"/>
      <c r="L169" s="12"/>
      <c r="M169" s="6"/>
    </row>
    <row r="170" spans="1:13" s="8" customFormat="1" ht="45" customHeight="1" thickBot="1" x14ac:dyDescent="0.3">
      <c r="A170" s="3"/>
      <c r="B170" s="7"/>
      <c r="C170" s="2"/>
      <c r="D170" s="15"/>
      <c r="E170" s="2"/>
      <c r="F170" s="2"/>
      <c r="G170" s="2"/>
      <c r="H170" s="2"/>
      <c r="I170" s="4"/>
      <c r="J170" s="2"/>
      <c r="K170" s="2"/>
      <c r="L170" s="12"/>
      <c r="M170" s="6"/>
    </row>
    <row r="171" spans="1:13" s="8" customFormat="1" ht="45" customHeight="1" thickBot="1" x14ac:dyDescent="0.3">
      <c r="A171" s="3"/>
      <c r="B171" s="7"/>
      <c r="C171" s="2"/>
      <c r="D171" s="15"/>
      <c r="E171" s="2"/>
      <c r="F171" s="2"/>
      <c r="G171" s="2"/>
      <c r="H171" s="2"/>
      <c r="I171" s="4"/>
      <c r="J171" s="2"/>
      <c r="K171" s="2"/>
      <c r="L171" s="12"/>
      <c r="M171" s="6"/>
    </row>
    <row r="172" spans="1:13" s="8" customFormat="1" ht="45" customHeight="1" thickBot="1" x14ac:dyDescent="0.3">
      <c r="A172" s="3"/>
      <c r="B172" s="7"/>
      <c r="C172" s="2"/>
      <c r="D172" s="15"/>
      <c r="E172" s="2"/>
      <c r="F172" s="2"/>
      <c r="G172" s="2"/>
      <c r="H172" s="2"/>
      <c r="I172" s="4"/>
      <c r="J172" s="2"/>
      <c r="K172" s="2"/>
      <c r="L172" s="12"/>
      <c r="M172" s="6"/>
    </row>
    <row r="173" spans="1:13" s="8" customFormat="1" ht="45" customHeight="1" thickBot="1" x14ac:dyDescent="0.3">
      <c r="A173" s="3"/>
      <c r="B173" s="7"/>
      <c r="C173" s="10"/>
      <c r="D173" s="15"/>
      <c r="E173" s="2"/>
      <c r="F173" s="2"/>
      <c r="G173" s="2"/>
      <c r="H173" s="2"/>
      <c r="I173" s="4"/>
      <c r="J173" s="2"/>
      <c r="K173" s="2"/>
      <c r="L173" s="12"/>
      <c r="M173" s="6"/>
    </row>
    <row r="174" spans="1:13" s="8" customFormat="1" ht="45" customHeight="1" thickBot="1" x14ac:dyDescent="0.3">
      <c r="A174" s="3"/>
      <c r="B174" s="7"/>
      <c r="C174" s="10"/>
      <c r="D174" s="15"/>
      <c r="E174" s="2"/>
      <c r="F174" s="2"/>
      <c r="G174" s="2"/>
      <c r="H174" s="2"/>
      <c r="I174" s="4"/>
      <c r="J174" s="2"/>
      <c r="K174" s="2"/>
      <c r="L174" s="12"/>
      <c r="M174" s="6"/>
    </row>
    <row r="175" spans="1:13" s="8" customFormat="1" ht="45" customHeight="1" thickBot="1" x14ac:dyDescent="0.3">
      <c r="A175" s="3"/>
      <c r="B175" s="7"/>
      <c r="C175" s="2"/>
      <c r="D175" s="15"/>
      <c r="E175" s="2"/>
      <c r="F175" s="2"/>
      <c r="G175" s="2"/>
      <c r="H175" s="2"/>
      <c r="I175" s="4"/>
      <c r="J175" s="2"/>
      <c r="K175" s="2"/>
      <c r="L175" s="12"/>
      <c r="M175" s="6"/>
    </row>
    <row r="176" spans="1:13" s="8" customFormat="1" ht="45" customHeight="1" thickBot="1" x14ac:dyDescent="0.3">
      <c r="A176" s="3"/>
      <c r="B176" s="7"/>
      <c r="C176" s="2"/>
      <c r="D176" s="15"/>
      <c r="E176" s="2"/>
      <c r="F176" s="2"/>
      <c r="G176" s="2"/>
      <c r="H176" s="2"/>
      <c r="I176" s="4"/>
      <c r="J176" s="2"/>
      <c r="K176" s="2"/>
      <c r="L176" s="12"/>
      <c r="M176" s="6"/>
    </row>
    <row r="177" spans="1:13" s="8" customFormat="1" ht="45" customHeight="1" thickBot="1" x14ac:dyDescent="0.3">
      <c r="A177" s="3"/>
      <c r="B177" s="7"/>
      <c r="C177" s="2"/>
      <c r="D177" s="15"/>
      <c r="E177" s="2"/>
      <c r="F177" s="2"/>
      <c r="G177" s="2"/>
      <c r="H177" s="2"/>
      <c r="I177" s="4"/>
      <c r="J177" s="2"/>
      <c r="K177" s="2"/>
      <c r="L177" s="12"/>
      <c r="M177" s="6"/>
    </row>
    <row r="178" spans="1:13" s="8" customFormat="1" ht="45" customHeight="1" thickBot="1" x14ac:dyDescent="0.3">
      <c r="A178" s="3"/>
      <c r="B178" s="7"/>
      <c r="C178" s="2"/>
      <c r="D178" s="16"/>
      <c r="E178" s="2"/>
      <c r="F178" s="2"/>
      <c r="G178" s="2"/>
      <c r="H178" s="2"/>
      <c r="I178" s="4"/>
      <c r="J178" s="2"/>
      <c r="K178" s="2"/>
      <c r="L178" s="12"/>
      <c r="M178" s="6"/>
    </row>
    <row r="179" spans="1:13" s="8" customFormat="1" ht="45" customHeight="1" thickBot="1" x14ac:dyDescent="0.3">
      <c r="A179" s="3"/>
      <c r="B179" s="7"/>
      <c r="C179" s="2"/>
      <c r="D179" s="16"/>
      <c r="E179" s="2"/>
      <c r="F179" s="2"/>
      <c r="G179" s="2"/>
      <c r="H179" s="2"/>
      <c r="I179" s="4"/>
      <c r="J179" s="2"/>
      <c r="K179" s="2"/>
      <c r="L179" s="12"/>
      <c r="M179" s="6"/>
    </row>
    <row r="180" spans="1:13" s="8" customFormat="1" ht="45" customHeight="1" thickBot="1" x14ac:dyDescent="0.3">
      <c r="A180" s="3"/>
      <c r="B180" s="7"/>
      <c r="C180" s="2"/>
      <c r="D180" s="15"/>
      <c r="E180" s="2"/>
      <c r="F180" s="2"/>
      <c r="G180" s="2"/>
      <c r="H180" s="2"/>
      <c r="I180" s="4"/>
      <c r="J180" s="2"/>
      <c r="K180" s="2"/>
      <c r="L180" s="12"/>
      <c r="M180" s="6"/>
    </row>
    <row r="181" spans="1:13" s="8" customFormat="1" ht="45" customHeight="1" thickBot="1" x14ac:dyDescent="0.3">
      <c r="A181" s="3"/>
      <c r="B181" s="7"/>
      <c r="C181" s="2"/>
      <c r="D181" s="15"/>
      <c r="E181" s="2"/>
      <c r="F181" s="2"/>
      <c r="G181" s="2"/>
      <c r="H181" s="2"/>
      <c r="I181" s="4"/>
      <c r="J181" s="2"/>
      <c r="K181" s="2"/>
      <c r="L181" s="12"/>
      <c r="M181" s="6"/>
    </row>
    <row r="182" spans="1:13" s="8" customFormat="1" ht="45" customHeight="1" thickBot="1" x14ac:dyDescent="0.3">
      <c r="A182" s="3"/>
      <c r="B182" s="7"/>
      <c r="C182" s="2"/>
      <c r="D182" s="15"/>
      <c r="E182" s="2"/>
      <c r="F182" s="2"/>
      <c r="G182" s="2"/>
      <c r="H182" s="2"/>
      <c r="I182" s="4"/>
      <c r="J182" s="2"/>
      <c r="K182" s="2"/>
      <c r="L182" s="12"/>
      <c r="M182" s="6"/>
    </row>
    <row r="183" spans="1:13" s="8" customFormat="1" ht="45" customHeight="1" thickBot="1" x14ac:dyDescent="0.3">
      <c r="A183" s="3"/>
      <c r="B183" s="7"/>
      <c r="C183" s="2"/>
      <c r="D183" s="15"/>
      <c r="E183" s="2"/>
      <c r="F183" s="2"/>
      <c r="G183" s="2"/>
      <c r="H183" s="2"/>
      <c r="I183" s="4"/>
      <c r="J183" s="2"/>
      <c r="K183" s="2"/>
      <c r="L183" s="12"/>
      <c r="M183" s="6"/>
    </row>
    <row r="184" spans="1:13" s="8" customFormat="1" ht="45" customHeight="1" thickBot="1" x14ac:dyDescent="0.3">
      <c r="A184" s="3"/>
      <c r="B184" s="7"/>
      <c r="C184" s="2"/>
      <c r="D184" s="15"/>
      <c r="E184" s="2"/>
      <c r="F184" s="2"/>
      <c r="G184" s="2"/>
      <c r="H184" s="2"/>
      <c r="I184" s="4"/>
      <c r="J184" s="2"/>
      <c r="K184" s="2"/>
      <c r="L184" s="12"/>
      <c r="M184" s="6"/>
    </row>
    <row r="185" spans="1:13" s="8" customFormat="1" ht="45" customHeight="1" thickBot="1" x14ac:dyDescent="0.3">
      <c r="A185" s="3"/>
      <c r="B185" s="7"/>
      <c r="C185" s="2"/>
      <c r="D185" s="15"/>
      <c r="E185" s="2"/>
      <c r="F185" s="2"/>
      <c r="G185" s="2"/>
      <c r="H185" s="2"/>
      <c r="I185" s="4"/>
      <c r="J185" s="2"/>
      <c r="K185" s="2"/>
      <c r="L185" s="12"/>
      <c r="M185" s="6"/>
    </row>
    <row r="186" spans="1:13" s="8" customFormat="1" ht="45" customHeight="1" thickBot="1" x14ac:dyDescent="0.3">
      <c r="A186" s="3"/>
      <c r="B186" s="7"/>
      <c r="C186" s="2"/>
      <c r="D186" s="10"/>
      <c r="E186" s="2"/>
      <c r="F186" s="2"/>
      <c r="G186" s="2"/>
      <c r="H186" s="2"/>
      <c r="I186" s="4"/>
      <c r="J186" s="2"/>
      <c r="K186" s="2"/>
      <c r="L186" s="12"/>
      <c r="M186" s="6"/>
    </row>
    <row r="187" spans="1:13" s="8" customFormat="1" ht="45" customHeight="1" thickBot="1" x14ac:dyDescent="0.3">
      <c r="A187" s="3"/>
      <c r="B187" s="7"/>
      <c r="C187" s="2"/>
      <c r="D187" s="15"/>
      <c r="E187" s="2"/>
      <c r="F187" s="2"/>
      <c r="G187" s="2"/>
      <c r="H187" s="2"/>
      <c r="I187" s="4"/>
      <c r="J187" s="2"/>
      <c r="K187" s="2"/>
      <c r="L187" s="12"/>
      <c r="M187" s="6"/>
    </row>
    <row r="188" spans="1:13" s="8" customFormat="1" ht="45" customHeight="1" thickBot="1" x14ac:dyDescent="0.3">
      <c r="A188" s="3"/>
      <c r="B188" s="7"/>
      <c r="C188" s="2"/>
      <c r="D188" s="15"/>
      <c r="E188" s="2"/>
      <c r="F188" s="2"/>
      <c r="G188" s="2"/>
      <c r="H188" s="2"/>
      <c r="I188" s="4"/>
      <c r="J188" s="2"/>
      <c r="K188" s="2"/>
      <c r="L188" s="12"/>
      <c r="M188" s="6"/>
    </row>
    <row r="189" spans="1:13" s="8" customFormat="1" ht="45" customHeight="1" thickBot="1" x14ac:dyDescent="0.3">
      <c r="A189" s="3"/>
      <c r="B189" s="7"/>
      <c r="C189" s="2"/>
      <c r="D189" s="15"/>
      <c r="E189" s="2"/>
      <c r="F189" s="2"/>
      <c r="G189" s="2"/>
      <c r="H189" s="2"/>
      <c r="I189" s="4"/>
      <c r="J189" s="2"/>
      <c r="K189" s="2"/>
      <c r="L189" s="12"/>
      <c r="M189" s="6"/>
    </row>
    <row r="190" spans="1:13" s="8" customFormat="1" ht="45" customHeight="1" thickBot="1" x14ac:dyDescent="0.3">
      <c r="A190" s="3"/>
      <c r="B190" s="7"/>
      <c r="C190" s="2"/>
      <c r="D190" s="15"/>
      <c r="E190" s="2"/>
      <c r="F190" s="2"/>
      <c r="G190" s="2"/>
      <c r="H190" s="2"/>
      <c r="I190" s="4"/>
      <c r="J190" s="2"/>
      <c r="K190" s="2"/>
      <c r="L190" s="12"/>
      <c r="M190" s="6"/>
    </row>
    <row r="191" spans="1:13" s="8" customFormat="1" ht="45" customHeight="1" thickBot="1" x14ac:dyDescent="0.3">
      <c r="A191" s="3"/>
      <c r="B191" s="7"/>
      <c r="C191" s="2"/>
      <c r="D191" s="15"/>
      <c r="E191" s="2"/>
      <c r="F191" s="2"/>
      <c r="G191" s="2"/>
      <c r="H191" s="2"/>
      <c r="I191" s="4"/>
      <c r="J191" s="2"/>
      <c r="K191" s="2"/>
      <c r="L191" s="12"/>
      <c r="M191" s="6"/>
    </row>
    <row r="192" spans="1:13" s="8" customFormat="1" ht="45" customHeight="1" thickBot="1" x14ac:dyDescent="0.3">
      <c r="A192" s="3"/>
      <c r="B192" s="7"/>
      <c r="C192" s="2"/>
      <c r="D192" s="15"/>
      <c r="E192" s="2"/>
      <c r="F192" s="2"/>
      <c r="G192" s="2"/>
      <c r="H192" s="2"/>
      <c r="I192" s="4"/>
      <c r="J192" s="2"/>
      <c r="K192" s="2"/>
      <c r="L192" s="12"/>
      <c r="M192" s="6"/>
    </row>
    <row r="193" spans="1:13" s="8" customFormat="1" ht="45" customHeight="1" thickBot="1" x14ac:dyDescent="0.3">
      <c r="A193" s="3"/>
      <c r="B193" s="7"/>
      <c r="C193" s="2"/>
      <c r="D193" s="15"/>
      <c r="E193" s="2"/>
      <c r="F193" s="2"/>
      <c r="G193" s="2"/>
      <c r="H193" s="2"/>
      <c r="I193" s="4"/>
      <c r="J193" s="2"/>
      <c r="K193" s="2"/>
      <c r="L193" s="12"/>
      <c r="M193" s="6"/>
    </row>
    <row r="194" spans="1:13" s="8" customFormat="1" ht="45" customHeight="1" thickBot="1" x14ac:dyDescent="0.3">
      <c r="A194" s="3"/>
      <c r="B194" s="7"/>
      <c r="C194" s="2"/>
      <c r="D194" s="16"/>
      <c r="E194" s="2"/>
      <c r="F194" s="2"/>
      <c r="G194" s="2"/>
      <c r="H194" s="2"/>
      <c r="I194" s="4"/>
      <c r="J194" s="2"/>
      <c r="K194" s="2"/>
      <c r="L194" s="12"/>
      <c r="M194" s="6"/>
    </row>
    <row r="195" spans="1:13" s="8" customFormat="1" ht="45" customHeight="1" thickBot="1" x14ac:dyDescent="0.3">
      <c r="A195" s="3"/>
      <c r="B195" s="7"/>
      <c r="C195" s="2"/>
      <c r="D195" s="16"/>
      <c r="E195" s="2"/>
      <c r="F195" s="2"/>
      <c r="G195" s="2"/>
      <c r="H195" s="2"/>
      <c r="I195" s="4"/>
      <c r="J195" s="2"/>
      <c r="K195" s="2"/>
      <c r="L195" s="12"/>
      <c r="M195" s="6"/>
    </row>
    <row r="196" spans="1:13" s="8" customFormat="1" ht="45" customHeight="1" thickBot="1" x14ac:dyDescent="0.3">
      <c r="A196" s="3"/>
      <c r="B196" s="7"/>
      <c r="C196" s="2"/>
      <c r="D196" s="15"/>
      <c r="E196" s="2"/>
      <c r="F196" s="2"/>
      <c r="G196" s="2"/>
      <c r="H196" s="2"/>
      <c r="I196" s="4"/>
      <c r="J196" s="2"/>
      <c r="K196" s="2"/>
      <c r="L196" s="12"/>
      <c r="M196" s="6"/>
    </row>
    <row r="197" spans="1:13" s="8" customFormat="1" ht="45" customHeight="1" thickBot="1" x14ac:dyDescent="0.3">
      <c r="A197" s="3"/>
      <c r="B197" s="7"/>
      <c r="C197" s="2"/>
      <c r="D197" s="15"/>
      <c r="E197" s="2"/>
      <c r="F197" s="2"/>
      <c r="G197" s="2"/>
      <c r="H197" s="2"/>
      <c r="I197" s="4"/>
      <c r="J197" s="2"/>
      <c r="K197" s="2"/>
      <c r="L197" s="12"/>
      <c r="M197" s="6"/>
    </row>
    <row r="198" spans="1:13" s="8" customFormat="1" ht="45" customHeight="1" thickBot="1" x14ac:dyDescent="0.3">
      <c r="A198" s="3"/>
      <c r="B198" s="7"/>
      <c r="C198" s="2"/>
      <c r="D198" s="15"/>
      <c r="E198" s="2"/>
      <c r="F198" s="2"/>
      <c r="G198" s="2"/>
      <c r="H198" s="2"/>
      <c r="I198" s="4"/>
      <c r="J198" s="2"/>
      <c r="K198" s="2"/>
      <c r="L198" s="12"/>
      <c r="M198" s="6"/>
    </row>
    <row r="199" spans="1:13" s="8" customFormat="1" ht="45" customHeight="1" thickBot="1" x14ac:dyDescent="0.3">
      <c r="A199" s="3"/>
      <c r="B199" s="7"/>
      <c r="C199" s="2"/>
      <c r="D199" s="15"/>
      <c r="E199" s="2"/>
      <c r="F199" s="2"/>
      <c r="G199" s="2"/>
      <c r="H199" s="2"/>
      <c r="I199" s="4"/>
      <c r="J199" s="2"/>
      <c r="K199" s="2"/>
      <c r="L199" s="12"/>
      <c r="M199" s="6"/>
    </row>
    <row r="200" spans="1:13" s="8" customFormat="1" ht="45" customHeight="1" thickBot="1" x14ac:dyDescent="0.3">
      <c r="A200" s="3"/>
      <c r="B200" s="7"/>
      <c r="C200" s="2"/>
      <c r="D200" s="15"/>
      <c r="E200" s="2"/>
      <c r="F200" s="2"/>
      <c r="G200" s="2"/>
      <c r="H200" s="2"/>
      <c r="I200" s="4"/>
      <c r="J200" s="2"/>
      <c r="K200" s="2"/>
      <c r="L200" s="12"/>
      <c r="M200" s="6"/>
    </row>
    <row r="201" spans="1:13" s="8" customFormat="1" ht="45" customHeight="1" thickBot="1" x14ac:dyDescent="0.3">
      <c r="A201" s="3"/>
      <c r="B201" s="7"/>
      <c r="C201" s="2"/>
      <c r="D201" s="15"/>
      <c r="E201" s="2"/>
      <c r="F201" s="2"/>
      <c r="G201" s="2"/>
      <c r="H201" s="2"/>
      <c r="I201" s="4"/>
      <c r="J201" s="2"/>
      <c r="K201" s="2"/>
      <c r="L201" s="12"/>
      <c r="M201" s="6"/>
    </row>
    <row r="202" spans="1:13" s="8" customFormat="1" ht="45" customHeight="1" thickBot="1" x14ac:dyDescent="0.3">
      <c r="A202" s="3"/>
      <c r="B202" s="7"/>
      <c r="C202" s="2"/>
      <c r="D202" s="15"/>
      <c r="E202" s="2"/>
      <c r="F202" s="2"/>
      <c r="G202" s="2"/>
      <c r="H202" s="2"/>
      <c r="I202" s="4"/>
      <c r="J202" s="2"/>
      <c r="K202" s="2"/>
      <c r="L202" s="12"/>
      <c r="M202" s="6"/>
    </row>
    <row r="203" spans="1:13" s="8" customFormat="1" ht="45" customHeight="1" thickBot="1" x14ac:dyDescent="0.3">
      <c r="A203" s="3"/>
      <c r="B203" s="7"/>
      <c r="C203" s="2"/>
      <c r="D203" s="15"/>
      <c r="E203" s="2"/>
      <c r="F203" s="2"/>
      <c r="G203" s="2"/>
      <c r="H203" s="2"/>
      <c r="I203" s="4"/>
      <c r="J203" s="2"/>
      <c r="K203" s="2"/>
      <c r="L203" s="12"/>
      <c r="M203" s="6"/>
    </row>
    <row r="204" spans="1:13" s="8" customFormat="1" ht="45" customHeight="1" thickBot="1" x14ac:dyDescent="0.3">
      <c r="A204" s="3"/>
      <c r="B204" s="7"/>
      <c r="C204" s="2"/>
      <c r="D204" s="15"/>
      <c r="E204" s="2"/>
      <c r="F204" s="2"/>
      <c r="G204" s="2"/>
      <c r="H204" s="2"/>
      <c r="I204" s="4"/>
      <c r="J204" s="2"/>
      <c r="K204" s="2"/>
      <c r="L204" s="12"/>
      <c r="M204" s="6"/>
    </row>
    <row r="205" spans="1:13" s="8" customFormat="1" ht="45" customHeight="1" thickBot="1" x14ac:dyDescent="0.3">
      <c r="A205" s="3"/>
      <c r="B205" s="7"/>
      <c r="C205" s="2"/>
      <c r="D205" s="15"/>
      <c r="E205" s="2"/>
      <c r="F205" s="2"/>
      <c r="G205" s="2"/>
      <c r="H205" s="2"/>
      <c r="I205" s="4"/>
      <c r="J205" s="2"/>
      <c r="K205" s="2"/>
      <c r="L205" s="12"/>
      <c r="M205" s="6"/>
    </row>
    <row r="206" spans="1:13" s="8" customFormat="1" ht="45" customHeight="1" thickBot="1" x14ac:dyDescent="0.3">
      <c r="A206" s="3"/>
      <c r="B206" s="7"/>
      <c r="C206" s="2"/>
      <c r="D206" s="15"/>
      <c r="E206" s="2"/>
      <c r="F206" s="2"/>
      <c r="G206" s="2"/>
      <c r="H206" s="2"/>
      <c r="I206" s="4"/>
      <c r="J206" s="2"/>
      <c r="K206" s="2"/>
      <c r="L206" s="12"/>
      <c r="M206" s="6"/>
    </row>
    <row r="207" spans="1:13" s="8" customFormat="1" ht="45" customHeight="1" thickBot="1" x14ac:dyDescent="0.3">
      <c r="A207" s="3"/>
      <c r="B207" s="7"/>
      <c r="C207" s="2"/>
      <c r="D207" s="15"/>
      <c r="E207" s="2"/>
      <c r="F207" s="2"/>
      <c r="G207" s="2"/>
      <c r="H207" s="2"/>
      <c r="I207" s="4"/>
      <c r="J207" s="2"/>
      <c r="K207" s="2"/>
      <c r="L207" s="12"/>
      <c r="M207" s="6"/>
    </row>
    <row r="208" spans="1:13" s="8" customFormat="1" ht="45" customHeight="1" thickBot="1" x14ac:dyDescent="0.3">
      <c r="A208" s="3"/>
      <c r="B208" s="7"/>
      <c r="C208" s="2"/>
      <c r="D208" s="10"/>
      <c r="E208" s="2"/>
      <c r="F208" s="2"/>
      <c r="G208" s="2"/>
      <c r="H208" s="2"/>
      <c r="I208" s="4"/>
      <c r="J208" s="2"/>
      <c r="K208" s="2"/>
      <c r="L208" s="12"/>
      <c r="M208" s="6"/>
    </row>
    <row r="209" spans="1:13" s="8" customFormat="1" ht="45" customHeight="1" thickBot="1" x14ac:dyDescent="0.3">
      <c r="A209" s="3"/>
      <c r="B209" s="7"/>
      <c r="C209" s="2"/>
      <c r="D209" s="15"/>
      <c r="E209" s="2"/>
      <c r="F209" s="2"/>
      <c r="G209" s="2"/>
      <c r="H209" s="2"/>
      <c r="I209" s="4"/>
      <c r="J209" s="2"/>
      <c r="K209" s="2"/>
      <c r="L209" s="12"/>
      <c r="M209" s="6"/>
    </row>
    <row r="210" spans="1:13" s="8" customFormat="1" ht="45" customHeight="1" thickBot="1" x14ac:dyDescent="0.3">
      <c r="A210" s="3"/>
      <c r="B210" s="7"/>
      <c r="C210" s="2"/>
      <c r="D210" s="15"/>
      <c r="E210" s="2"/>
      <c r="F210" s="2"/>
      <c r="G210" s="2"/>
      <c r="H210" s="2"/>
      <c r="I210" s="4"/>
      <c r="J210" s="2"/>
      <c r="K210" s="2"/>
      <c r="L210" s="12"/>
      <c r="M210" s="6"/>
    </row>
    <row r="211" spans="1:13" s="8" customFormat="1" ht="45" customHeight="1" thickBot="1" x14ac:dyDescent="0.3">
      <c r="A211" s="3"/>
      <c r="B211" s="7"/>
      <c r="C211" s="2"/>
      <c r="D211" s="15"/>
      <c r="E211" s="2"/>
      <c r="F211" s="2"/>
      <c r="G211" s="2"/>
      <c r="H211" s="2"/>
      <c r="I211" s="4"/>
      <c r="J211" s="2"/>
      <c r="K211" s="2"/>
      <c r="L211" s="12"/>
      <c r="M211" s="6"/>
    </row>
    <row r="212" spans="1:13" s="8" customFormat="1" ht="45" customHeight="1" thickBot="1" x14ac:dyDescent="0.3">
      <c r="A212" s="3"/>
      <c r="B212" s="7"/>
      <c r="C212" s="2"/>
      <c r="D212" s="15"/>
      <c r="E212" s="2"/>
      <c r="F212" s="2"/>
      <c r="G212" s="2"/>
      <c r="H212" s="2"/>
      <c r="I212" s="4"/>
      <c r="J212" s="2"/>
      <c r="K212" s="2"/>
      <c r="L212" s="12"/>
      <c r="M212" s="6"/>
    </row>
    <row r="213" spans="1:13" s="8" customFormat="1" ht="45" customHeight="1" thickBot="1" x14ac:dyDescent="0.3">
      <c r="A213" s="3"/>
      <c r="B213" s="7"/>
      <c r="C213" s="2"/>
      <c r="D213" s="15"/>
      <c r="E213" s="2"/>
      <c r="F213" s="2"/>
      <c r="G213" s="2"/>
      <c r="H213" s="2"/>
      <c r="I213" s="4"/>
      <c r="J213" s="2"/>
      <c r="K213" s="2"/>
      <c r="L213" s="12"/>
      <c r="M213" s="6"/>
    </row>
    <row r="214" spans="1:13" s="8" customFormat="1" ht="45" customHeight="1" thickBot="1" x14ac:dyDescent="0.3">
      <c r="A214" s="3"/>
      <c r="B214" s="7"/>
      <c r="C214" s="2"/>
      <c r="D214" s="15"/>
      <c r="E214" s="2"/>
      <c r="F214" s="2"/>
      <c r="G214" s="2"/>
      <c r="H214" s="2"/>
      <c r="I214" s="4"/>
      <c r="J214" s="2"/>
      <c r="K214" s="2"/>
      <c r="L214" s="12"/>
      <c r="M214" s="6"/>
    </row>
    <row r="215" spans="1:13" s="8" customFormat="1" ht="45" customHeight="1" thickBot="1" x14ac:dyDescent="0.3">
      <c r="A215" s="3"/>
      <c r="B215" s="7"/>
      <c r="C215" s="2"/>
      <c r="D215" s="15"/>
      <c r="E215" s="2"/>
      <c r="F215" s="2"/>
      <c r="G215" s="2"/>
      <c r="H215" s="2"/>
      <c r="I215" s="4"/>
      <c r="J215" s="2"/>
      <c r="K215" s="2"/>
      <c r="L215" s="12"/>
      <c r="M215" s="6"/>
    </row>
    <row r="216" spans="1:13" s="8" customFormat="1" ht="45" customHeight="1" thickBot="1" x14ac:dyDescent="0.3">
      <c r="A216" s="3"/>
      <c r="B216" s="7"/>
      <c r="C216" s="2"/>
      <c r="D216" s="2"/>
      <c r="E216" s="2"/>
      <c r="F216" s="2"/>
      <c r="G216" s="2"/>
      <c r="H216" s="2"/>
      <c r="I216" s="4"/>
      <c r="J216" s="2"/>
      <c r="K216" s="2"/>
      <c r="L216" s="12"/>
      <c r="M216" s="6"/>
    </row>
    <row r="217" spans="1:13" s="8" customFormat="1" ht="45" customHeight="1" thickBot="1" x14ac:dyDescent="0.3">
      <c r="A217" s="3"/>
      <c r="B217" s="7"/>
      <c r="C217" s="2"/>
      <c r="D217" s="15"/>
      <c r="E217" s="2"/>
      <c r="F217" s="2"/>
      <c r="G217" s="2"/>
      <c r="H217" s="2"/>
      <c r="I217" s="4"/>
      <c r="J217" s="2"/>
      <c r="K217" s="2"/>
      <c r="L217" s="12"/>
      <c r="M217" s="6"/>
    </row>
    <row r="218" spans="1:13" s="8" customFormat="1" ht="45" customHeight="1" thickBot="1" x14ac:dyDescent="0.3">
      <c r="A218" s="3"/>
      <c r="B218" s="7"/>
      <c r="C218" s="2"/>
      <c r="D218" s="15"/>
      <c r="E218" s="2"/>
      <c r="F218" s="2"/>
      <c r="G218" s="2"/>
      <c r="H218" s="2"/>
      <c r="I218" s="4"/>
      <c r="J218" s="2"/>
      <c r="K218" s="2"/>
      <c r="L218" s="12"/>
      <c r="M218" s="6"/>
    </row>
    <row r="219" spans="1:13" s="8" customFormat="1" ht="45" customHeight="1" thickBot="1" x14ac:dyDescent="0.3">
      <c r="A219" s="3"/>
      <c r="B219" s="7"/>
      <c r="C219" s="2"/>
      <c r="D219" s="15"/>
      <c r="E219" s="2"/>
      <c r="F219" s="2"/>
      <c r="G219" s="2"/>
      <c r="H219" s="2"/>
      <c r="I219" s="4"/>
      <c r="J219" s="2"/>
      <c r="K219" s="2"/>
      <c r="L219" s="12"/>
      <c r="M219" s="6"/>
    </row>
    <row r="220" spans="1:13" s="8" customFormat="1" ht="45" customHeight="1" thickBot="1" x14ac:dyDescent="0.3">
      <c r="A220" s="3"/>
      <c r="B220" s="7"/>
      <c r="C220" s="2"/>
      <c r="D220" s="15"/>
      <c r="E220" s="2"/>
      <c r="F220" s="2"/>
      <c r="G220" s="2"/>
      <c r="H220" s="2"/>
      <c r="I220" s="4"/>
      <c r="J220" s="2"/>
      <c r="K220" s="2"/>
      <c r="L220" s="12"/>
      <c r="M220" s="6"/>
    </row>
    <row r="221" spans="1:13" s="8" customFormat="1" ht="45" customHeight="1" thickBot="1" x14ac:dyDescent="0.3">
      <c r="A221" s="3"/>
      <c r="B221" s="7"/>
      <c r="C221" s="2"/>
      <c r="D221" s="15"/>
      <c r="E221" s="2"/>
      <c r="F221" s="2"/>
      <c r="G221" s="2"/>
      <c r="H221" s="2"/>
      <c r="I221" s="4"/>
      <c r="J221" s="2"/>
      <c r="K221" s="2"/>
      <c r="L221" s="12"/>
      <c r="M221" s="6"/>
    </row>
    <row r="222" spans="1:13" s="8" customFormat="1" ht="45" customHeight="1" thickBot="1" x14ac:dyDescent="0.3">
      <c r="A222" s="3"/>
      <c r="B222" s="7"/>
      <c r="C222" s="2"/>
      <c r="D222" s="15"/>
      <c r="E222" s="2"/>
      <c r="F222" s="2"/>
      <c r="G222" s="2"/>
      <c r="H222" s="2"/>
      <c r="I222" s="4"/>
      <c r="J222" s="2"/>
      <c r="K222" s="2"/>
      <c r="L222" s="12"/>
      <c r="M222" s="6"/>
    </row>
    <row r="223" spans="1:13" s="8" customFormat="1" ht="45" customHeight="1" thickBot="1" x14ac:dyDescent="0.3">
      <c r="A223" s="3"/>
      <c r="B223" s="7"/>
      <c r="C223" s="2"/>
      <c r="D223" s="15"/>
      <c r="E223" s="2"/>
      <c r="F223" s="2"/>
      <c r="G223" s="2"/>
      <c r="H223" s="2"/>
      <c r="I223" s="4"/>
      <c r="J223" s="2"/>
      <c r="K223" s="2"/>
      <c r="L223" s="12"/>
      <c r="M223" s="6"/>
    </row>
    <row r="224" spans="1:13" s="8" customFormat="1" ht="45" customHeight="1" thickBot="1" x14ac:dyDescent="0.3">
      <c r="A224" s="3"/>
      <c r="B224" s="7"/>
      <c r="C224" s="2"/>
      <c r="D224" s="15"/>
      <c r="E224" s="2"/>
      <c r="F224" s="2"/>
      <c r="G224" s="2"/>
      <c r="H224" s="2"/>
      <c r="I224" s="4"/>
      <c r="J224" s="2"/>
      <c r="K224" s="2"/>
      <c r="L224" s="12"/>
      <c r="M224" s="6"/>
    </row>
    <row r="225" spans="1:13" s="8" customFormat="1" ht="45" customHeight="1" thickBot="1" x14ac:dyDescent="0.3">
      <c r="A225" s="3"/>
      <c r="B225" s="7"/>
      <c r="C225" s="2"/>
      <c r="D225" s="15"/>
      <c r="E225" s="2"/>
      <c r="F225" s="2"/>
      <c r="G225" s="2"/>
      <c r="H225" s="2"/>
      <c r="I225" s="4"/>
      <c r="J225" s="2"/>
      <c r="K225" s="2"/>
      <c r="L225" s="12"/>
      <c r="M225" s="6"/>
    </row>
    <row r="226" spans="1:13" s="8" customFormat="1" ht="45" customHeight="1" thickBot="1" x14ac:dyDescent="0.3">
      <c r="A226" s="3"/>
      <c r="B226" s="7"/>
      <c r="C226" s="2"/>
      <c r="D226" s="15"/>
      <c r="E226" s="2"/>
      <c r="F226" s="2"/>
      <c r="G226" s="2"/>
      <c r="H226" s="2"/>
      <c r="I226" s="4"/>
      <c r="J226" s="2"/>
      <c r="K226" s="2"/>
      <c r="L226" s="12"/>
      <c r="M226" s="6"/>
    </row>
    <row r="227" spans="1:13" s="8" customFormat="1" ht="45" customHeight="1" thickBot="1" x14ac:dyDescent="0.3">
      <c r="A227" s="3"/>
      <c r="B227" s="7"/>
      <c r="C227" s="2"/>
      <c r="D227" s="15"/>
      <c r="E227" s="2"/>
      <c r="F227" s="2"/>
      <c r="G227" s="2"/>
      <c r="H227" s="2"/>
      <c r="I227" s="4"/>
      <c r="J227" s="2"/>
      <c r="K227" s="2"/>
      <c r="L227" s="12"/>
      <c r="M227" s="6"/>
    </row>
    <row r="228" spans="1:13" s="8" customFormat="1" ht="45" customHeight="1" thickBot="1" x14ac:dyDescent="0.3">
      <c r="A228" s="3"/>
      <c r="B228" s="7"/>
      <c r="C228" s="2"/>
      <c r="D228" s="15"/>
      <c r="E228" s="2"/>
      <c r="F228" s="2"/>
      <c r="G228" s="2"/>
      <c r="H228" s="2"/>
      <c r="I228" s="4"/>
      <c r="J228" s="2"/>
      <c r="K228" s="2"/>
      <c r="L228" s="12"/>
      <c r="M228" s="6"/>
    </row>
    <row r="229" spans="1:13" s="8" customFormat="1" ht="45" customHeight="1" thickBot="1" x14ac:dyDescent="0.3">
      <c r="A229" s="3"/>
      <c r="B229" s="7"/>
      <c r="C229" s="2"/>
      <c r="D229" s="15"/>
      <c r="E229" s="2"/>
      <c r="F229" s="2"/>
      <c r="G229" s="2"/>
      <c r="H229" s="2"/>
      <c r="I229" s="4"/>
      <c r="J229" s="2"/>
      <c r="K229" s="2"/>
      <c r="L229" s="12"/>
      <c r="M229" s="6"/>
    </row>
    <row r="230" spans="1:13" s="8" customFormat="1" ht="45" customHeight="1" thickBot="1" x14ac:dyDescent="0.3">
      <c r="A230" s="3"/>
      <c r="B230" s="7"/>
      <c r="C230" s="2"/>
      <c r="D230" s="10"/>
      <c r="E230" s="7"/>
      <c r="F230" s="2"/>
      <c r="G230" s="2"/>
      <c r="H230" s="2"/>
      <c r="I230" s="4"/>
      <c r="J230" s="2"/>
      <c r="K230" s="2"/>
      <c r="L230" s="12"/>
      <c r="M230" s="6"/>
    </row>
    <row r="231" spans="1:13" s="8" customFormat="1" ht="45" customHeight="1" thickBot="1" x14ac:dyDescent="0.3">
      <c r="A231" s="3"/>
      <c r="B231" s="7"/>
      <c r="C231" s="4"/>
      <c r="D231" s="10"/>
      <c r="E231" s="7"/>
      <c r="F231" s="2"/>
      <c r="G231" s="2"/>
      <c r="H231" s="2"/>
      <c r="I231" s="4"/>
      <c r="J231" s="2"/>
      <c r="K231" s="2"/>
      <c r="L231" s="12"/>
      <c r="M231" s="6"/>
    </row>
    <row r="232" spans="1:13" s="8" customFormat="1" ht="45" customHeight="1" thickBot="1" x14ac:dyDescent="0.3">
      <c r="A232" s="3"/>
      <c r="B232" s="7"/>
      <c r="C232" s="7"/>
      <c r="D232" s="15"/>
      <c r="E232" s="7"/>
      <c r="F232" s="2"/>
      <c r="G232" s="2"/>
      <c r="H232" s="2"/>
      <c r="I232" s="4"/>
      <c r="J232" s="2"/>
      <c r="K232" s="2"/>
      <c r="L232" s="12"/>
      <c r="M232" s="6"/>
    </row>
    <row r="233" spans="1:13" s="8" customFormat="1" ht="45" customHeight="1" thickBot="1" x14ac:dyDescent="0.3">
      <c r="A233" s="3"/>
      <c r="B233" s="7"/>
      <c r="C233" s="7"/>
      <c r="D233" s="15"/>
      <c r="E233" s="7"/>
      <c r="F233" s="2"/>
      <c r="G233" s="2"/>
      <c r="H233" s="2"/>
      <c r="I233" s="4"/>
      <c r="J233" s="2"/>
      <c r="K233" s="2"/>
      <c r="L233" s="12"/>
      <c r="M233" s="6"/>
    </row>
    <row r="234" spans="1:13" s="8" customFormat="1" ht="45" customHeight="1" thickBot="1" x14ac:dyDescent="0.3">
      <c r="A234" s="3"/>
      <c r="B234" s="7"/>
      <c r="C234" s="7"/>
      <c r="D234" s="15"/>
      <c r="E234" s="7"/>
      <c r="F234" s="2"/>
      <c r="G234" s="2"/>
      <c r="H234" s="2"/>
      <c r="I234" s="4"/>
      <c r="J234" s="2"/>
      <c r="K234" s="2"/>
      <c r="L234" s="12"/>
      <c r="M234" s="6"/>
    </row>
    <row r="235" spans="1:13" s="8" customFormat="1" ht="45" customHeight="1" thickBot="1" x14ac:dyDescent="0.3">
      <c r="A235" s="3"/>
      <c r="B235" s="7"/>
      <c r="C235" s="7"/>
      <c r="D235" s="15"/>
      <c r="E235" s="7"/>
      <c r="F235" s="2"/>
      <c r="G235" s="2"/>
      <c r="H235" s="2"/>
      <c r="I235" s="4"/>
      <c r="J235" s="2"/>
      <c r="K235" s="2"/>
      <c r="L235" s="12"/>
      <c r="M235" s="6"/>
    </row>
    <row r="236" spans="1:13" s="8" customFormat="1" ht="45" customHeight="1" thickBot="1" x14ac:dyDescent="0.3">
      <c r="A236" s="3"/>
      <c r="B236" s="7"/>
      <c r="C236" s="7"/>
      <c r="D236" s="15"/>
      <c r="E236" s="7"/>
      <c r="F236" s="2"/>
      <c r="G236" s="2"/>
      <c r="H236" s="2"/>
      <c r="I236" s="4"/>
      <c r="J236" s="2"/>
      <c r="K236" s="2"/>
      <c r="L236" s="12"/>
      <c r="M236" s="6"/>
    </row>
    <row r="237" spans="1:13" s="8" customFormat="1" ht="45" customHeight="1" thickBot="1" x14ac:dyDescent="0.3">
      <c r="A237" s="3"/>
      <c r="B237" s="7"/>
      <c r="C237" s="7"/>
      <c r="D237" s="15"/>
      <c r="E237" s="7"/>
      <c r="F237" s="2"/>
      <c r="G237" s="2"/>
      <c r="H237" s="2"/>
      <c r="I237" s="4"/>
      <c r="J237" s="2"/>
      <c r="K237" s="2"/>
      <c r="L237" s="12"/>
      <c r="M237" s="6"/>
    </row>
    <row r="238" spans="1:13" s="8" customFormat="1" ht="45" customHeight="1" thickBot="1" x14ac:dyDescent="0.3">
      <c r="A238" s="3"/>
      <c r="B238" s="7"/>
      <c r="C238" s="7"/>
      <c r="D238" s="16"/>
      <c r="E238" s="7"/>
      <c r="F238" s="2"/>
      <c r="G238" s="2"/>
      <c r="H238" s="2"/>
      <c r="I238" s="4"/>
      <c r="J238" s="2"/>
      <c r="K238" s="2"/>
      <c r="L238" s="12"/>
      <c r="M238" s="6"/>
    </row>
    <row r="239" spans="1:13" s="8" customFormat="1" ht="45" customHeight="1" thickBot="1" x14ac:dyDescent="0.3">
      <c r="A239" s="3"/>
      <c r="B239" s="7"/>
      <c r="C239" s="4"/>
      <c r="D239" s="13"/>
      <c r="E239" s="7"/>
      <c r="F239" s="2"/>
      <c r="G239" s="2"/>
      <c r="H239" s="7"/>
      <c r="I239" s="4"/>
      <c r="J239" s="2"/>
      <c r="K239" s="2"/>
      <c r="L239" s="12"/>
      <c r="M239" s="6"/>
    </row>
    <row r="240" spans="1:13" s="8" customFormat="1" ht="45" customHeight="1" thickBot="1" x14ac:dyDescent="0.3">
      <c r="A240" s="3"/>
      <c r="B240" s="7"/>
      <c r="C240" s="4"/>
      <c r="D240" s="13"/>
      <c r="E240" s="7"/>
      <c r="F240" s="2"/>
      <c r="G240" s="2"/>
      <c r="H240" s="7"/>
      <c r="I240" s="4"/>
      <c r="J240" s="2"/>
      <c r="K240" s="2"/>
      <c r="L240" s="12"/>
      <c r="M240" s="6"/>
    </row>
    <row r="241" spans="1:13" s="8" customFormat="1" ht="45" customHeight="1" thickBot="1" x14ac:dyDescent="0.3">
      <c r="A241" s="3"/>
      <c r="B241" s="7"/>
      <c r="C241" s="4"/>
      <c r="D241" s="13"/>
      <c r="E241" s="7"/>
      <c r="F241" s="2"/>
      <c r="G241" s="2"/>
      <c r="H241" s="7"/>
      <c r="I241" s="4"/>
      <c r="J241" s="2"/>
      <c r="K241" s="2"/>
      <c r="L241" s="12"/>
      <c r="M241" s="6"/>
    </row>
    <row r="242" spans="1:13" s="8" customFormat="1" ht="45" customHeight="1" thickBot="1" x14ac:dyDescent="0.3">
      <c r="A242" s="3"/>
      <c r="B242" s="7"/>
      <c r="C242" s="7"/>
      <c r="D242" s="15"/>
      <c r="E242" s="7"/>
      <c r="F242" s="2"/>
      <c r="G242" s="2"/>
      <c r="H242" s="2"/>
      <c r="I242" s="4"/>
      <c r="J242" s="2"/>
      <c r="K242" s="2"/>
      <c r="L242" s="12"/>
      <c r="M242" s="6"/>
    </row>
    <row r="243" spans="1:13" s="8" customFormat="1" ht="45" customHeight="1" thickBot="1" x14ac:dyDescent="0.3">
      <c r="A243" s="3"/>
      <c r="B243" s="7"/>
      <c r="C243" s="7"/>
      <c r="D243" s="16"/>
      <c r="E243" s="7"/>
      <c r="F243" s="2"/>
      <c r="G243" s="2"/>
      <c r="H243" s="2"/>
      <c r="I243" s="4"/>
      <c r="J243" s="2"/>
      <c r="K243" s="2"/>
      <c r="L243" s="12"/>
      <c r="M243" s="6"/>
    </row>
    <row r="244" spans="1:13" ht="45" customHeight="1" thickBot="1" x14ac:dyDescent="0.3">
      <c r="A244" s="3"/>
      <c r="B244" s="7"/>
      <c r="C244" s="7"/>
      <c r="D244" s="2"/>
      <c r="E244" s="7"/>
      <c r="F244" s="2"/>
      <c r="G244" s="2"/>
      <c r="H244" s="7"/>
      <c r="I244" s="4"/>
      <c r="J244" s="4"/>
      <c r="K244" s="4"/>
      <c r="L244" s="11"/>
      <c r="M244" s="5"/>
    </row>
    <row r="245" spans="1:13" ht="45" customHeight="1" thickBot="1" x14ac:dyDescent="0.3">
      <c r="A245" s="3"/>
      <c r="B245" s="7"/>
      <c r="C245" s="7"/>
      <c r="D245" s="2"/>
      <c r="E245" s="7"/>
      <c r="F245" s="2"/>
      <c r="G245" s="2"/>
      <c r="H245" s="7"/>
      <c r="I245" s="4"/>
      <c r="J245" s="4"/>
      <c r="K245" s="4"/>
      <c r="L245" s="11"/>
      <c r="M245" s="5"/>
    </row>
    <row r="246" spans="1:13" ht="45" customHeight="1" thickBot="1" x14ac:dyDescent="0.3">
      <c r="A246" s="3"/>
      <c r="B246" s="7"/>
      <c r="C246" s="7"/>
      <c r="D246" s="2"/>
      <c r="E246" s="7"/>
      <c r="F246" s="2"/>
      <c r="G246" s="2"/>
      <c r="H246" s="7"/>
      <c r="I246" s="4"/>
      <c r="J246" s="4"/>
      <c r="K246" s="4"/>
      <c r="L246" s="11"/>
      <c r="M246" s="5"/>
    </row>
    <row r="247" spans="1:13" ht="45" customHeight="1" thickBot="1" x14ac:dyDescent="0.3">
      <c r="A247" s="3"/>
      <c r="B247" s="7"/>
      <c r="C247" s="7"/>
      <c r="D247" s="2"/>
      <c r="E247" s="7"/>
      <c r="F247" s="2"/>
      <c r="G247" s="2"/>
      <c r="H247" s="7"/>
      <c r="I247" s="4"/>
      <c r="J247" s="4"/>
      <c r="K247" s="4"/>
      <c r="L247" s="11"/>
      <c r="M247" s="5"/>
    </row>
    <row r="248" spans="1:13" ht="45" customHeight="1" thickBot="1" x14ac:dyDescent="0.3">
      <c r="A248" s="3"/>
      <c r="B248" s="7"/>
      <c r="C248" s="7"/>
      <c r="D248" s="2"/>
      <c r="E248" s="7"/>
      <c r="F248" s="2"/>
      <c r="G248" s="2"/>
      <c r="H248" s="7"/>
      <c r="I248" s="4"/>
      <c r="J248" s="4"/>
      <c r="K248" s="4"/>
      <c r="L248" s="11"/>
      <c r="M248" s="5"/>
    </row>
    <row r="249" spans="1:13" ht="45" customHeight="1" thickBot="1" x14ac:dyDescent="0.3">
      <c r="A249" s="3"/>
      <c r="B249" s="7"/>
      <c r="C249" s="7"/>
      <c r="D249" s="2"/>
      <c r="E249" s="7"/>
      <c r="F249" s="2"/>
      <c r="G249" s="2"/>
      <c r="H249" s="7"/>
      <c r="I249" s="4"/>
      <c r="J249" s="4"/>
      <c r="K249" s="4"/>
      <c r="L249" s="11"/>
      <c r="M249" s="5"/>
    </row>
    <row r="250" spans="1:13" s="8" customFormat="1" ht="45" customHeight="1" thickBot="1" x14ac:dyDescent="0.3">
      <c r="A250" s="3"/>
      <c r="B250" s="7"/>
      <c r="C250" s="4"/>
      <c r="D250" s="10"/>
      <c r="E250" s="7"/>
      <c r="F250" s="2"/>
      <c r="G250" s="2"/>
      <c r="H250" s="7"/>
      <c r="I250" s="4"/>
      <c r="J250" s="2"/>
      <c r="K250" s="2"/>
      <c r="L250" s="12"/>
      <c r="M250" s="6"/>
    </row>
    <row r="251" spans="1:13" s="8" customFormat="1" ht="45" customHeight="1" thickBot="1" x14ac:dyDescent="0.3">
      <c r="A251" s="3"/>
      <c r="B251" s="7"/>
      <c r="C251" s="4"/>
      <c r="D251" s="10"/>
      <c r="E251" s="7"/>
      <c r="F251" s="2"/>
      <c r="G251" s="2"/>
      <c r="H251" s="7"/>
      <c r="I251" s="4"/>
      <c r="J251" s="2"/>
      <c r="K251" s="2"/>
      <c r="L251" s="12"/>
      <c r="M251" s="6"/>
    </row>
    <row r="252" spans="1:13" s="8" customFormat="1" ht="45" customHeight="1" thickBot="1" x14ac:dyDescent="0.3">
      <c r="A252" s="3"/>
      <c r="B252" s="7"/>
      <c r="C252" s="4"/>
      <c r="D252" s="15"/>
      <c r="E252" s="7"/>
      <c r="F252" s="2"/>
      <c r="G252" s="2"/>
      <c r="H252" s="7"/>
      <c r="I252" s="4"/>
      <c r="J252" s="2"/>
      <c r="K252" s="2"/>
      <c r="L252" s="12"/>
      <c r="M252" s="27"/>
    </row>
    <row r="253" spans="1:13" s="8" customFormat="1" ht="45" customHeight="1" thickBot="1" x14ac:dyDescent="0.3">
      <c r="A253" s="3"/>
      <c r="B253" s="7"/>
      <c r="C253" s="4"/>
      <c r="D253" s="2"/>
      <c r="E253" s="7"/>
      <c r="F253" s="2"/>
      <c r="G253" s="2"/>
      <c r="H253" s="7"/>
      <c r="I253" s="4"/>
      <c r="J253" s="2"/>
      <c r="K253" s="2"/>
      <c r="L253" s="12"/>
      <c r="M253" s="6"/>
    </row>
    <row r="254" spans="1:13" s="8" customFormat="1" ht="45" customHeight="1" thickBot="1" x14ac:dyDescent="0.3">
      <c r="A254" s="3"/>
      <c r="B254" s="7"/>
      <c r="C254" s="4"/>
      <c r="D254" s="2"/>
      <c r="E254" s="7"/>
      <c r="F254" s="2"/>
      <c r="G254" s="2"/>
      <c r="H254" s="7"/>
      <c r="I254" s="4"/>
      <c r="J254" s="2"/>
      <c r="K254" s="2"/>
      <c r="L254" s="12"/>
      <c r="M254" s="6"/>
    </row>
    <row r="255" spans="1:13" s="8" customFormat="1" ht="45" customHeight="1" thickBot="1" x14ac:dyDescent="0.3">
      <c r="A255" s="3"/>
      <c r="B255" s="7"/>
      <c r="C255" s="4"/>
      <c r="D255" s="2"/>
      <c r="E255" s="7"/>
      <c r="F255" s="2"/>
      <c r="G255" s="2"/>
      <c r="H255" s="7"/>
      <c r="I255" s="4"/>
      <c r="J255" s="2"/>
      <c r="K255" s="2"/>
      <c r="L255" s="12"/>
      <c r="M255" s="6"/>
    </row>
    <row r="256" spans="1:13" ht="45" customHeight="1" thickBot="1" x14ac:dyDescent="0.3">
      <c r="A256" s="3"/>
      <c r="B256" s="7"/>
      <c r="C256" s="7"/>
      <c r="D256" s="2"/>
      <c r="E256" s="7"/>
      <c r="F256" s="7"/>
      <c r="G256" s="7"/>
      <c r="H256" s="7"/>
      <c r="I256" s="4"/>
      <c r="J256" s="4"/>
      <c r="K256" s="4"/>
      <c r="L256" s="11"/>
      <c r="M256" s="5"/>
    </row>
    <row r="257" spans="1:13" ht="45" customHeight="1" thickBot="1" x14ac:dyDescent="0.3">
      <c r="A257" s="3"/>
      <c r="B257" s="7"/>
      <c r="C257" s="7"/>
      <c r="D257" s="2"/>
      <c r="E257" s="7"/>
      <c r="F257" s="7"/>
      <c r="G257" s="7"/>
      <c r="H257" s="7"/>
      <c r="I257" s="4"/>
      <c r="J257" s="4"/>
      <c r="K257" s="4"/>
      <c r="L257" s="11"/>
      <c r="M257" s="5"/>
    </row>
    <row r="258" spans="1:13" ht="45" customHeight="1" thickBot="1" x14ac:dyDescent="0.3">
      <c r="A258" s="3"/>
      <c r="B258" s="7"/>
      <c r="C258" s="7"/>
      <c r="D258" s="2"/>
      <c r="E258" s="7"/>
      <c r="F258" s="7"/>
      <c r="G258" s="7"/>
      <c r="H258" s="7"/>
      <c r="I258" s="4"/>
      <c r="J258" s="4"/>
      <c r="K258" s="4"/>
      <c r="L258" s="11"/>
      <c r="M258" s="5"/>
    </row>
    <row r="259" spans="1:13" ht="45" customHeight="1" thickBot="1" x14ac:dyDescent="0.3">
      <c r="A259" s="3"/>
      <c r="B259" s="7"/>
      <c r="C259" s="7"/>
      <c r="D259" s="2"/>
      <c r="E259" s="7"/>
      <c r="F259" s="7"/>
      <c r="G259" s="7"/>
      <c r="H259" s="7"/>
      <c r="I259" s="4"/>
      <c r="J259" s="4"/>
      <c r="K259" s="4"/>
      <c r="L259" s="11"/>
      <c r="M259" s="5"/>
    </row>
    <row r="260" spans="1:13" ht="45" customHeight="1" thickBot="1" x14ac:dyDescent="0.3">
      <c r="A260" s="3"/>
      <c r="B260" s="7"/>
      <c r="C260" s="7"/>
      <c r="D260" s="2"/>
      <c r="E260" s="7"/>
      <c r="F260" s="7"/>
      <c r="G260" s="7"/>
      <c r="H260" s="7"/>
      <c r="I260" s="4"/>
      <c r="J260" s="4"/>
      <c r="K260" s="4"/>
      <c r="L260" s="11"/>
      <c r="M260" s="5"/>
    </row>
    <row r="261" spans="1:13" s="8" customFormat="1" ht="45" customHeight="1" thickBot="1" x14ac:dyDescent="0.3">
      <c r="A261" s="3"/>
      <c r="B261" s="7"/>
      <c r="C261" s="7"/>
      <c r="D261" s="10"/>
      <c r="E261" s="7"/>
      <c r="F261" s="7"/>
      <c r="G261" s="7"/>
      <c r="H261" s="7"/>
      <c r="I261" s="4"/>
      <c r="J261" s="4"/>
      <c r="K261" s="2"/>
      <c r="L261" s="12"/>
      <c r="M261" s="27"/>
    </row>
    <row r="262" spans="1:13" s="8" customFormat="1" ht="45" customHeight="1" thickBot="1" x14ac:dyDescent="0.3">
      <c r="A262" s="3"/>
      <c r="B262" s="7"/>
      <c r="C262" s="7"/>
      <c r="D262" s="10"/>
      <c r="E262" s="7"/>
      <c r="F262" s="7"/>
      <c r="G262" s="7"/>
      <c r="H262" s="7"/>
      <c r="I262" s="4"/>
      <c r="J262" s="4"/>
      <c r="K262" s="2"/>
      <c r="L262" s="12"/>
      <c r="M262" s="27"/>
    </row>
    <row r="263" spans="1:13" s="8" customFormat="1" ht="45" customHeight="1" thickBot="1" x14ac:dyDescent="0.3">
      <c r="A263" s="3"/>
      <c r="B263" s="7"/>
      <c r="C263" s="7"/>
      <c r="D263" s="10"/>
      <c r="E263" s="7"/>
      <c r="F263" s="7"/>
      <c r="G263" s="7"/>
      <c r="H263" s="7"/>
      <c r="I263" s="4"/>
      <c r="J263" s="4"/>
      <c r="K263" s="2"/>
      <c r="L263" s="12"/>
      <c r="M263" s="27"/>
    </row>
    <row r="264" spans="1:13" s="8" customFormat="1" ht="45" customHeight="1" thickBot="1" x14ac:dyDescent="0.3">
      <c r="A264" s="3"/>
      <c r="B264" s="7"/>
      <c r="C264" s="7"/>
      <c r="D264" s="10"/>
      <c r="E264" s="7"/>
      <c r="F264" s="7"/>
      <c r="G264" s="7"/>
      <c r="H264" s="7"/>
      <c r="I264" s="4"/>
      <c r="J264" s="4"/>
      <c r="K264" s="2"/>
      <c r="L264" s="12"/>
      <c r="M264" s="27"/>
    </row>
    <row r="265" spans="1:13" ht="45" customHeight="1" thickBot="1" x14ac:dyDescent="0.3">
      <c r="A265" s="3"/>
      <c r="B265" s="7"/>
      <c r="C265" s="7"/>
      <c r="D265" s="2"/>
      <c r="E265" s="7"/>
      <c r="F265" s="7"/>
      <c r="G265" s="7"/>
      <c r="H265" s="7"/>
      <c r="I265" s="4"/>
      <c r="J265" s="4"/>
      <c r="K265" s="4"/>
      <c r="L265" s="11"/>
      <c r="M265" s="5"/>
    </row>
    <row r="266" spans="1:13" s="8" customFormat="1" ht="45" customHeight="1" thickBot="1" x14ac:dyDescent="0.3">
      <c r="A266" s="3"/>
      <c r="B266" s="7"/>
      <c r="C266" s="2"/>
      <c r="D266" s="10"/>
      <c r="E266" s="7"/>
      <c r="F266" s="7"/>
      <c r="G266" s="7"/>
      <c r="H266" s="4"/>
      <c r="I266" s="4"/>
      <c r="J266" s="2"/>
      <c r="K266" s="2"/>
      <c r="L266" s="12"/>
      <c r="M266" s="6"/>
    </row>
    <row r="267" spans="1:13" s="8" customFormat="1" ht="45" customHeight="1" thickBot="1" x14ac:dyDescent="0.3">
      <c r="A267" s="3"/>
      <c r="B267" s="7"/>
      <c r="C267" s="2"/>
      <c r="D267" s="10"/>
      <c r="E267" s="7"/>
      <c r="F267" s="7"/>
      <c r="G267" s="7"/>
      <c r="H267" s="4"/>
      <c r="I267" s="4"/>
      <c r="J267" s="2"/>
      <c r="K267" s="2"/>
      <c r="L267" s="12"/>
      <c r="M267" s="6"/>
    </row>
    <row r="268" spans="1:13" s="8" customFormat="1" ht="45" customHeight="1" thickBot="1" x14ac:dyDescent="0.3">
      <c r="A268" s="3"/>
      <c r="B268" s="7"/>
      <c r="C268" s="2"/>
      <c r="D268" s="10"/>
      <c r="E268" s="7"/>
      <c r="F268" s="7"/>
      <c r="G268" s="7"/>
      <c r="H268" s="4"/>
      <c r="I268" s="4"/>
      <c r="J268" s="2"/>
      <c r="K268" s="2"/>
      <c r="L268" s="12"/>
      <c r="M268" s="6"/>
    </row>
    <row r="269" spans="1:13" s="8" customFormat="1" ht="45" customHeight="1" thickBot="1" x14ac:dyDescent="0.3">
      <c r="A269" s="3"/>
      <c r="B269" s="7"/>
      <c r="C269" s="2"/>
      <c r="D269" s="10"/>
      <c r="E269" s="7"/>
      <c r="F269" s="7"/>
      <c r="G269" s="7"/>
      <c r="H269" s="4"/>
      <c r="I269" s="4"/>
      <c r="J269" s="2"/>
      <c r="K269" s="2"/>
      <c r="L269" s="12"/>
      <c r="M269" s="6"/>
    </row>
    <row r="270" spans="1:13" s="8" customFormat="1" ht="45" customHeight="1" thickBot="1" x14ac:dyDescent="0.3">
      <c r="A270" s="3"/>
      <c r="B270" s="7"/>
      <c r="C270" s="2"/>
      <c r="D270" s="10"/>
      <c r="E270" s="7"/>
      <c r="F270" s="7"/>
      <c r="G270" s="7"/>
      <c r="H270" s="4"/>
      <c r="I270" s="4"/>
      <c r="J270" s="2"/>
      <c r="K270" s="2"/>
      <c r="L270" s="12"/>
      <c r="M270" s="6"/>
    </row>
    <row r="271" spans="1:13" s="8" customFormat="1" ht="45" customHeight="1" thickBot="1" x14ac:dyDescent="0.3">
      <c r="A271" s="3"/>
      <c r="B271" s="7"/>
      <c r="C271" s="2"/>
      <c r="D271" s="10"/>
      <c r="E271" s="7"/>
      <c r="F271" s="2"/>
      <c r="G271" s="2"/>
      <c r="H271" s="7"/>
      <c r="I271" s="4"/>
      <c r="J271" s="2"/>
      <c r="K271" s="2"/>
      <c r="L271" s="12"/>
      <c r="M271" s="6"/>
    </row>
    <row r="272" spans="1:13" s="8" customFormat="1" ht="45" customHeight="1" thickBot="1" x14ac:dyDescent="0.3">
      <c r="A272" s="3"/>
      <c r="B272" s="7"/>
      <c r="C272" s="2"/>
      <c r="D272" s="10"/>
      <c r="E272" s="7"/>
      <c r="F272" s="2"/>
      <c r="G272" s="2"/>
      <c r="H272" s="7"/>
      <c r="I272" s="4"/>
      <c r="J272" s="2"/>
      <c r="K272" s="2"/>
      <c r="L272" s="12"/>
      <c r="M272" s="6"/>
    </row>
    <row r="273" spans="1:13" s="8" customFormat="1" ht="45" customHeight="1" thickBot="1" x14ac:dyDescent="0.3">
      <c r="A273" s="3"/>
      <c r="B273" s="7"/>
      <c r="C273" s="2"/>
      <c r="D273" s="10"/>
      <c r="E273" s="7"/>
      <c r="F273" s="2"/>
      <c r="G273" s="2"/>
      <c r="H273" s="7"/>
      <c r="I273" s="4"/>
      <c r="J273" s="2"/>
      <c r="K273" s="2"/>
      <c r="L273" s="12"/>
      <c r="M273" s="27"/>
    </row>
    <row r="274" spans="1:13" s="8" customFormat="1" ht="45" customHeight="1" thickBot="1" x14ac:dyDescent="0.3">
      <c r="A274" s="3"/>
      <c r="B274" s="7"/>
      <c r="C274" s="10"/>
      <c r="D274" s="10"/>
      <c r="E274" s="7"/>
      <c r="F274" s="2"/>
      <c r="G274" s="2"/>
      <c r="H274" s="7"/>
      <c r="I274" s="4"/>
      <c r="J274" s="2"/>
      <c r="K274" s="2"/>
      <c r="L274" s="12"/>
      <c r="M274" s="6"/>
    </row>
    <row r="275" spans="1:13" s="8" customFormat="1" ht="45" customHeight="1" thickBot="1" x14ac:dyDescent="0.3">
      <c r="A275" s="3"/>
      <c r="B275" s="7"/>
      <c r="C275" s="10"/>
      <c r="D275" s="2"/>
      <c r="E275" s="7"/>
      <c r="F275" s="2"/>
      <c r="G275" s="2"/>
      <c r="H275" s="7"/>
      <c r="I275" s="4"/>
      <c r="J275" s="2"/>
      <c r="K275" s="2"/>
      <c r="L275" s="12"/>
      <c r="M275" s="6"/>
    </row>
    <row r="276" spans="1:13" s="8" customFormat="1" ht="45" customHeight="1" thickBot="1" x14ac:dyDescent="0.3">
      <c r="A276" s="3"/>
      <c r="B276" s="7"/>
      <c r="C276" s="10"/>
      <c r="D276" s="10"/>
      <c r="E276" s="7"/>
      <c r="F276" s="2"/>
      <c r="G276" s="2"/>
      <c r="H276" s="7"/>
      <c r="I276" s="4"/>
      <c r="J276" s="2"/>
      <c r="K276" s="2"/>
      <c r="L276" s="12"/>
      <c r="M276" s="6"/>
    </row>
    <row r="277" spans="1:13" s="8" customFormat="1" ht="45" customHeight="1" thickBot="1" x14ac:dyDescent="0.3">
      <c r="A277" s="3"/>
      <c r="B277" s="7"/>
      <c r="C277" s="4"/>
      <c r="D277" s="13"/>
      <c r="E277" s="7"/>
      <c r="F277" s="2"/>
      <c r="G277" s="2"/>
      <c r="H277" s="7"/>
      <c r="I277" s="4"/>
      <c r="J277" s="2"/>
      <c r="K277" s="2"/>
      <c r="L277" s="12"/>
      <c r="M277" s="6"/>
    </row>
    <row r="278" spans="1:13" s="8" customFormat="1" ht="45" customHeight="1" thickBot="1" x14ac:dyDescent="0.3">
      <c r="A278" s="3"/>
      <c r="B278" s="7"/>
      <c r="C278" s="4"/>
      <c r="D278" s="13"/>
      <c r="E278" s="7"/>
      <c r="F278" s="2"/>
      <c r="G278" s="2"/>
      <c r="H278" s="7"/>
      <c r="I278" s="4"/>
      <c r="J278" s="2"/>
      <c r="K278" s="2"/>
      <c r="L278" s="12"/>
      <c r="M278" s="6"/>
    </row>
    <row r="279" spans="1:13" s="8" customFormat="1" ht="45" customHeight="1" thickBot="1" x14ac:dyDescent="0.3">
      <c r="A279" s="3"/>
      <c r="B279" s="7"/>
      <c r="C279" s="4"/>
      <c r="D279" s="2"/>
      <c r="E279" s="7"/>
      <c r="F279" s="2"/>
      <c r="G279" s="2"/>
      <c r="H279" s="4"/>
      <c r="I279" s="4"/>
      <c r="J279" s="2"/>
      <c r="K279" s="2"/>
      <c r="L279" s="12"/>
      <c r="M279" s="6"/>
    </row>
    <row r="280" spans="1:13" s="8" customFormat="1" ht="45" customHeight="1" thickBot="1" x14ac:dyDescent="0.3">
      <c r="A280" s="3"/>
      <c r="B280" s="7"/>
      <c r="C280" s="4"/>
      <c r="D280" s="10"/>
      <c r="E280" s="7"/>
      <c r="F280" s="2"/>
      <c r="G280" s="2"/>
      <c r="H280" s="4"/>
      <c r="I280" s="4"/>
      <c r="J280" s="2"/>
      <c r="K280" s="2"/>
      <c r="L280" s="12"/>
      <c r="M280" s="6"/>
    </row>
    <row r="281" spans="1:13" ht="45" customHeight="1" thickBot="1" x14ac:dyDescent="0.3">
      <c r="A281" s="3"/>
      <c r="B281" s="7"/>
      <c r="C281" s="7"/>
      <c r="D281" s="2"/>
      <c r="E281" s="7"/>
      <c r="F281" s="7"/>
      <c r="G281" s="7"/>
      <c r="H281" s="7"/>
      <c r="I281" s="4"/>
      <c r="J281" s="4"/>
      <c r="K281" s="4"/>
      <c r="L281" s="11"/>
      <c r="M281" s="5"/>
    </row>
    <row r="282" spans="1:13" s="8" customFormat="1" ht="45" customHeight="1" thickBot="1" x14ac:dyDescent="0.3">
      <c r="A282" s="3"/>
      <c r="B282" s="7"/>
      <c r="C282" s="4"/>
      <c r="D282" s="2"/>
      <c r="E282" s="7"/>
      <c r="F282" s="2"/>
      <c r="G282" s="2"/>
      <c r="H282" s="7"/>
      <c r="I282" s="4"/>
      <c r="J282" s="2"/>
      <c r="K282" s="2"/>
      <c r="L282" s="12"/>
      <c r="M282" s="6"/>
    </row>
    <row r="283" spans="1:13" ht="45" customHeight="1" thickBot="1" x14ac:dyDescent="0.3">
      <c r="A283" s="3"/>
      <c r="B283" s="7"/>
      <c r="C283" s="4"/>
      <c r="D283" s="2"/>
      <c r="E283" s="7"/>
      <c r="F283" s="2"/>
      <c r="G283" s="2"/>
      <c r="H283" s="7"/>
      <c r="I283" s="4"/>
      <c r="J283" s="4"/>
      <c r="K283" s="4"/>
      <c r="L283" s="11"/>
      <c r="M283" s="5"/>
    </row>
    <row r="284" spans="1:13" ht="45" customHeight="1" thickBot="1" x14ac:dyDescent="0.3">
      <c r="A284" s="3"/>
      <c r="B284" s="7"/>
      <c r="C284" s="4"/>
      <c r="D284" s="2"/>
      <c r="E284" s="7"/>
      <c r="F284" s="2"/>
      <c r="G284" s="2"/>
      <c r="H284" s="7"/>
      <c r="I284" s="4"/>
      <c r="J284" s="4"/>
      <c r="K284" s="4"/>
      <c r="L284" s="11"/>
      <c r="M284" s="5"/>
    </row>
    <row r="285" spans="1:13" ht="45" customHeight="1" thickBot="1" x14ac:dyDescent="0.3">
      <c r="A285" s="3"/>
      <c r="B285" s="7"/>
      <c r="C285" s="4"/>
      <c r="D285" s="2"/>
      <c r="E285" s="7"/>
      <c r="F285" s="2"/>
      <c r="G285" s="2"/>
      <c r="H285" s="7"/>
      <c r="I285" s="4"/>
      <c r="J285" s="4"/>
      <c r="K285" s="4"/>
      <c r="L285" s="11"/>
      <c r="M285" s="5"/>
    </row>
    <row r="286" spans="1:13" ht="45" customHeight="1" thickBot="1" x14ac:dyDescent="0.3">
      <c r="A286" s="3"/>
      <c r="B286" s="7"/>
      <c r="C286" s="4"/>
      <c r="D286" s="2"/>
      <c r="E286" s="7"/>
      <c r="F286" s="2"/>
      <c r="G286" s="2"/>
      <c r="H286" s="7"/>
      <c r="I286" s="4"/>
      <c r="J286" s="4"/>
      <c r="K286" s="4"/>
      <c r="L286" s="11"/>
      <c r="M286" s="5"/>
    </row>
    <row r="287" spans="1:13" ht="45" customHeight="1" thickBot="1" x14ac:dyDescent="0.3">
      <c r="A287" s="3"/>
      <c r="B287" s="7"/>
      <c r="C287" s="4"/>
      <c r="D287" s="2"/>
      <c r="E287" s="7"/>
      <c r="F287" s="2"/>
      <c r="G287" s="2"/>
      <c r="H287" s="7"/>
      <c r="I287" s="4"/>
      <c r="J287" s="4"/>
      <c r="K287" s="4"/>
      <c r="L287" s="11"/>
      <c r="M287" s="5"/>
    </row>
    <row r="288" spans="1:13" ht="45" customHeight="1" thickBot="1" x14ac:dyDescent="0.3">
      <c r="A288" s="3"/>
      <c r="B288" s="7"/>
      <c r="C288" s="4"/>
      <c r="D288" s="2"/>
      <c r="E288" s="7"/>
      <c r="F288" s="2"/>
      <c r="G288" s="2"/>
      <c r="H288" s="7"/>
      <c r="I288" s="4"/>
      <c r="J288" s="4"/>
      <c r="K288" s="4"/>
      <c r="L288" s="11"/>
      <c r="M288" s="5"/>
    </row>
    <row r="289" spans="1:13" ht="45" customHeight="1" thickBot="1" x14ac:dyDescent="0.3">
      <c r="A289" s="3"/>
      <c r="B289" s="7"/>
      <c r="C289" s="4"/>
      <c r="D289" s="2"/>
      <c r="E289" s="7"/>
      <c r="F289" s="2"/>
      <c r="G289" s="2"/>
      <c r="H289" s="7"/>
      <c r="I289" s="4"/>
      <c r="J289" s="4"/>
      <c r="K289" s="4"/>
      <c r="L289" s="11"/>
      <c r="M289" s="5"/>
    </row>
    <row r="290" spans="1:13" s="8" customFormat="1" ht="45" customHeight="1" thickBot="1" x14ac:dyDescent="0.3">
      <c r="A290" s="3"/>
      <c r="B290" s="7"/>
      <c r="C290" s="4"/>
      <c r="D290" s="2"/>
      <c r="E290" s="7"/>
      <c r="F290" s="2"/>
      <c r="G290" s="2"/>
      <c r="H290" s="7"/>
      <c r="I290" s="4"/>
      <c r="J290" s="2"/>
      <c r="K290" s="2"/>
      <c r="L290" s="12"/>
      <c r="M290" s="27"/>
    </row>
    <row r="291" spans="1:13" s="8" customFormat="1" ht="45" customHeight="1" thickBot="1" x14ac:dyDescent="0.3">
      <c r="A291" s="3"/>
      <c r="B291" s="7"/>
      <c r="C291" s="4"/>
      <c r="D291" s="2"/>
      <c r="E291" s="7"/>
      <c r="F291" s="2"/>
      <c r="G291" s="2"/>
      <c r="H291" s="7"/>
      <c r="I291" s="4"/>
      <c r="J291" s="2"/>
      <c r="K291" s="2"/>
      <c r="L291" s="12"/>
      <c r="M291" s="27"/>
    </row>
    <row r="292" spans="1:13" s="8" customFormat="1" ht="45" customHeight="1" thickBot="1" x14ac:dyDescent="0.3">
      <c r="A292" s="3"/>
      <c r="B292" s="7"/>
      <c r="C292" s="4"/>
      <c r="D292" s="2"/>
      <c r="E292" s="7"/>
      <c r="F292" s="2"/>
      <c r="G292" s="2"/>
      <c r="H292" s="7"/>
      <c r="I292" s="4"/>
      <c r="J292" s="2"/>
      <c r="K292" s="2"/>
      <c r="L292" s="12"/>
      <c r="M292" s="27"/>
    </row>
    <row r="293" spans="1:13" s="8" customFormat="1" ht="45" customHeight="1" thickBot="1" x14ac:dyDescent="0.3">
      <c r="A293" s="3"/>
      <c r="B293" s="7"/>
      <c r="C293" s="4"/>
      <c r="D293" s="2"/>
      <c r="E293" s="7"/>
      <c r="F293" s="2"/>
      <c r="G293" s="2"/>
      <c r="H293" s="7"/>
      <c r="I293" s="4"/>
      <c r="J293" s="2"/>
      <c r="K293" s="2"/>
      <c r="L293" s="12"/>
      <c r="M293" s="27"/>
    </row>
    <row r="294" spans="1:13" s="8" customFormat="1" ht="45" customHeight="1" thickBot="1" x14ac:dyDescent="0.3">
      <c r="A294" s="3"/>
      <c r="B294" s="7"/>
      <c r="C294" s="4"/>
      <c r="D294" s="2"/>
      <c r="E294" s="7"/>
      <c r="F294" s="2"/>
      <c r="G294" s="2"/>
      <c r="H294" s="7"/>
      <c r="I294" s="4"/>
      <c r="J294" s="2"/>
      <c r="K294" s="2"/>
      <c r="L294" s="12"/>
      <c r="M294" s="27"/>
    </row>
    <row r="295" spans="1:13" s="8" customFormat="1" ht="45" customHeight="1" thickBot="1" x14ac:dyDescent="0.3">
      <c r="A295" s="3"/>
      <c r="B295" s="7"/>
      <c r="C295" s="4"/>
      <c r="D295" s="2"/>
      <c r="E295" s="7"/>
      <c r="F295" s="2"/>
      <c r="G295" s="2"/>
      <c r="H295" s="7"/>
      <c r="I295" s="4"/>
      <c r="J295" s="2"/>
      <c r="K295" s="2"/>
      <c r="L295" s="12"/>
      <c r="M295" s="27"/>
    </row>
    <row r="296" spans="1:13" s="8" customFormat="1" ht="45" customHeight="1" thickBot="1" x14ac:dyDescent="0.3">
      <c r="A296" s="3"/>
      <c r="B296" s="7"/>
      <c r="C296" s="4"/>
      <c r="D296" s="2"/>
      <c r="E296" s="7"/>
      <c r="F296" s="2"/>
      <c r="G296" s="2"/>
      <c r="H296" s="7"/>
      <c r="I296" s="4"/>
      <c r="J296" s="2"/>
      <c r="K296" s="2"/>
      <c r="L296" s="12"/>
      <c r="M296" s="27"/>
    </row>
    <row r="297" spans="1:13" s="8" customFormat="1" ht="45" customHeight="1" thickBot="1" x14ac:dyDescent="0.3">
      <c r="A297" s="3"/>
      <c r="B297" s="7"/>
      <c r="C297" s="4"/>
      <c r="D297" s="2"/>
      <c r="E297" s="7"/>
      <c r="F297" s="2"/>
      <c r="G297" s="2"/>
      <c r="H297" s="7"/>
      <c r="I297" s="4"/>
      <c r="J297" s="2"/>
      <c r="K297" s="2"/>
      <c r="L297" s="12"/>
      <c r="M297" s="27"/>
    </row>
    <row r="298" spans="1:13" s="8" customFormat="1" ht="45" customHeight="1" thickBot="1" x14ac:dyDescent="0.3">
      <c r="A298" s="3"/>
      <c r="B298" s="7"/>
      <c r="C298" s="2"/>
      <c r="D298" s="15"/>
      <c r="E298" s="7"/>
      <c r="F298" s="2"/>
      <c r="G298" s="2"/>
      <c r="H298" s="2"/>
      <c r="I298" s="4"/>
      <c r="J298" s="2"/>
      <c r="K298" s="2"/>
      <c r="L298" s="12"/>
      <c r="M298" s="6"/>
    </row>
    <row r="299" spans="1:13" ht="45" customHeight="1" thickBot="1" x14ac:dyDescent="0.3">
      <c r="A299" s="3"/>
      <c r="B299" s="7"/>
      <c r="C299" s="4"/>
      <c r="D299" s="2"/>
      <c r="E299" s="7"/>
      <c r="F299" s="2"/>
      <c r="G299" s="2"/>
      <c r="H299" s="7"/>
      <c r="I299" s="4"/>
      <c r="J299" s="4"/>
      <c r="K299" s="4"/>
      <c r="L299" s="11"/>
      <c r="M299" s="44"/>
    </row>
    <row r="300" spans="1:13" ht="45" customHeight="1" thickBot="1" x14ac:dyDescent="0.3">
      <c r="A300" s="3"/>
      <c r="B300" s="7"/>
      <c r="C300" s="4"/>
      <c r="D300" s="2"/>
      <c r="E300" s="7"/>
      <c r="F300" s="2"/>
      <c r="G300" s="2"/>
      <c r="H300" s="7"/>
      <c r="I300" s="4"/>
      <c r="J300" s="4"/>
      <c r="K300" s="4"/>
      <c r="L300" s="11"/>
      <c r="M300" s="44"/>
    </row>
    <row r="301" spans="1:13" s="8" customFormat="1" ht="45" customHeight="1" thickBot="1" x14ac:dyDescent="0.3">
      <c r="A301" s="3"/>
      <c r="B301" s="7"/>
      <c r="C301" s="2"/>
      <c r="D301" s="10"/>
      <c r="E301" s="7"/>
      <c r="F301" s="2"/>
      <c r="G301" s="2"/>
      <c r="H301" s="7"/>
      <c r="I301" s="4"/>
      <c r="J301" s="2"/>
      <c r="K301" s="2"/>
      <c r="L301" s="12"/>
      <c r="M301" s="6"/>
    </row>
    <row r="302" spans="1:13" s="8" customFormat="1" ht="45" customHeight="1" thickBot="1" x14ac:dyDescent="0.3">
      <c r="A302" s="3"/>
      <c r="B302" s="7"/>
      <c r="C302" s="2"/>
      <c r="D302" s="10"/>
      <c r="E302" s="7"/>
      <c r="F302" s="2"/>
      <c r="G302" s="2"/>
      <c r="H302" s="7"/>
      <c r="I302" s="4"/>
      <c r="J302" s="2"/>
      <c r="K302" s="2"/>
      <c r="L302" s="12"/>
      <c r="M302" s="27"/>
    </row>
    <row r="303" spans="1:13" s="8" customFormat="1" ht="45" customHeight="1" thickBot="1" x14ac:dyDescent="0.3">
      <c r="A303" s="3"/>
      <c r="B303" s="7"/>
      <c r="C303" s="2"/>
      <c r="D303" s="10"/>
      <c r="E303" s="7"/>
      <c r="F303" s="2"/>
      <c r="G303" s="2"/>
      <c r="H303" s="7"/>
      <c r="I303" s="4"/>
      <c r="J303" s="2"/>
      <c r="K303" s="2"/>
      <c r="L303" s="12"/>
      <c r="M303" s="6"/>
    </row>
    <row r="304" spans="1:13" s="8" customFormat="1" ht="45" customHeight="1" thickBot="1" x14ac:dyDescent="0.3">
      <c r="A304" s="3"/>
      <c r="B304" s="7"/>
      <c r="C304" s="4"/>
      <c r="D304" s="2"/>
      <c r="E304" s="7"/>
      <c r="F304" s="2"/>
      <c r="G304" s="2"/>
      <c r="H304" s="7"/>
      <c r="I304" s="4"/>
      <c r="J304" s="2"/>
      <c r="K304" s="2"/>
      <c r="L304" s="12"/>
      <c r="M304" s="6"/>
    </row>
    <row r="305" spans="1:13" s="8" customFormat="1" ht="45" customHeight="1" thickBot="1" x14ac:dyDescent="0.3">
      <c r="A305" s="3"/>
      <c r="B305" s="7"/>
      <c r="C305" s="4"/>
      <c r="D305" s="13"/>
      <c r="E305" s="7"/>
      <c r="F305" s="2"/>
      <c r="G305" s="2"/>
      <c r="H305" s="7"/>
      <c r="I305" s="4"/>
      <c r="J305" s="2"/>
      <c r="K305" s="2"/>
      <c r="L305" s="12"/>
      <c r="M305" s="6"/>
    </row>
    <row r="306" spans="1:13" ht="45" customHeight="1" thickBot="1" x14ac:dyDescent="0.3">
      <c r="A306" s="3"/>
      <c r="B306" s="7"/>
      <c r="C306" s="4"/>
      <c r="D306" s="2"/>
      <c r="E306" s="7"/>
      <c r="F306" s="2"/>
      <c r="G306" s="2"/>
      <c r="H306" s="7"/>
      <c r="I306" s="4"/>
      <c r="J306" s="4"/>
      <c r="K306" s="4"/>
      <c r="L306" s="11"/>
      <c r="M306" s="44"/>
    </row>
    <row r="307" spans="1:13" s="8" customFormat="1" ht="45" customHeight="1" thickBot="1" x14ac:dyDescent="0.3">
      <c r="A307" s="3"/>
      <c r="B307" s="7"/>
      <c r="C307" s="4"/>
      <c r="D307" s="13"/>
      <c r="E307" s="7"/>
      <c r="F307" s="2"/>
      <c r="G307" s="2"/>
      <c r="H307" s="7"/>
      <c r="I307" s="4"/>
      <c r="J307" s="2"/>
      <c r="K307" s="2"/>
      <c r="L307" s="12"/>
      <c r="M307" s="6"/>
    </row>
    <row r="308" spans="1:13" s="8" customFormat="1" ht="45" customHeight="1" thickBot="1" x14ac:dyDescent="0.3">
      <c r="A308" s="3"/>
      <c r="B308" s="7"/>
      <c r="C308" s="4"/>
      <c r="D308" s="13"/>
      <c r="E308" s="7"/>
      <c r="F308" s="2"/>
      <c r="G308" s="2"/>
      <c r="H308" s="7"/>
      <c r="I308" s="4"/>
      <c r="J308" s="2"/>
      <c r="K308" s="2"/>
      <c r="L308" s="12"/>
      <c r="M308" s="6"/>
    </row>
    <row r="309" spans="1:13" s="8" customFormat="1" ht="45" customHeight="1" thickBot="1" x14ac:dyDescent="0.3">
      <c r="A309" s="3"/>
      <c r="B309" s="7"/>
      <c r="C309" s="4"/>
      <c r="D309" s="10"/>
      <c r="E309" s="7"/>
      <c r="F309" s="2"/>
      <c r="G309" s="2"/>
      <c r="H309" s="7"/>
      <c r="I309" s="4"/>
      <c r="J309" s="2"/>
      <c r="K309" s="2"/>
      <c r="L309" s="12"/>
      <c r="M309" s="6"/>
    </row>
    <row r="310" spans="1:13" s="8" customFormat="1" ht="45" customHeight="1" thickBot="1" x14ac:dyDescent="0.3">
      <c r="A310" s="3"/>
      <c r="B310" s="7"/>
      <c r="C310" s="4"/>
      <c r="D310" s="13"/>
      <c r="E310" s="7"/>
      <c r="F310" s="2"/>
      <c r="G310" s="2"/>
      <c r="H310" s="7"/>
      <c r="I310" s="4"/>
      <c r="J310" s="2"/>
      <c r="K310" s="2"/>
      <c r="L310" s="12"/>
      <c r="M310" s="6"/>
    </row>
    <row r="311" spans="1:13" s="8" customFormat="1" ht="45" customHeight="1" thickBot="1" x14ac:dyDescent="0.3">
      <c r="A311" s="3"/>
      <c r="B311" s="7"/>
      <c r="C311" s="4"/>
      <c r="D311" s="13"/>
      <c r="E311" s="7"/>
      <c r="F311" s="2"/>
      <c r="G311" s="2"/>
      <c r="H311" s="7"/>
      <c r="I311" s="4"/>
      <c r="J311" s="2"/>
      <c r="K311" s="2"/>
      <c r="L311" s="12"/>
      <c r="M311" s="6"/>
    </row>
    <row r="312" spans="1:13" s="8" customFormat="1" ht="45" customHeight="1" thickBot="1" x14ac:dyDescent="0.3">
      <c r="A312" s="3"/>
      <c r="B312" s="7"/>
      <c r="C312" s="4"/>
      <c r="D312" s="13"/>
      <c r="E312" s="7"/>
      <c r="F312" s="2"/>
      <c r="G312" s="2"/>
      <c r="H312" s="7"/>
      <c r="I312" s="4"/>
      <c r="J312" s="2"/>
      <c r="K312" s="2"/>
      <c r="L312" s="12"/>
      <c r="M312" s="6"/>
    </row>
    <row r="313" spans="1:13" s="8" customFormat="1" ht="45" customHeight="1" thickBot="1" x14ac:dyDescent="0.3">
      <c r="A313" s="3"/>
      <c r="B313" s="7"/>
      <c r="C313" s="4"/>
      <c r="D313" s="2"/>
      <c r="E313" s="7"/>
      <c r="F313" s="2"/>
      <c r="G313" s="2"/>
      <c r="H313" s="7"/>
      <c r="I313" s="4"/>
      <c r="J313" s="2"/>
      <c r="K313" s="2"/>
      <c r="L313" s="12"/>
      <c r="M313" s="27"/>
    </row>
    <row r="314" spans="1:13" s="8" customFormat="1" ht="45" customHeight="1" thickBot="1" x14ac:dyDescent="0.3">
      <c r="A314" s="3"/>
      <c r="B314" s="7"/>
      <c r="C314" s="2"/>
      <c r="D314" s="10"/>
      <c r="E314" s="7"/>
      <c r="F314" s="2"/>
      <c r="G314" s="2"/>
      <c r="H314" s="7"/>
      <c r="I314" s="4"/>
      <c r="J314" s="2"/>
      <c r="K314" s="2"/>
      <c r="L314" s="12"/>
      <c r="M314" s="6"/>
    </row>
    <row r="315" spans="1:13" s="8" customFormat="1" ht="45" customHeight="1" thickBot="1" x14ac:dyDescent="0.3">
      <c r="A315" s="3"/>
      <c r="B315" s="7"/>
      <c r="C315" s="2"/>
      <c r="D315" s="10"/>
      <c r="E315" s="7"/>
      <c r="F315" s="2"/>
      <c r="G315" s="2"/>
      <c r="H315" s="7"/>
      <c r="I315" s="4"/>
      <c r="J315" s="2"/>
      <c r="K315" s="2"/>
      <c r="L315" s="12"/>
      <c r="M315" s="6"/>
    </row>
    <row r="316" spans="1:13" s="8" customFormat="1" ht="45" customHeight="1" thickBot="1" x14ac:dyDescent="0.3">
      <c r="A316" s="3"/>
      <c r="B316" s="7"/>
      <c r="C316" s="2"/>
      <c r="D316" s="10"/>
      <c r="E316" s="7"/>
      <c r="F316" s="2"/>
      <c r="G316" s="2"/>
      <c r="H316" s="7"/>
      <c r="I316" s="4"/>
      <c r="J316" s="2"/>
      <c r="K316" s="2"/>
      <c r="L316" s="12"/>
      <c r="M316" s="6"/>
    </row>
    <row r="317" spans="1:13" s="8" customFormat="1" ht="45" customHeight="1" thickBot="1" x14ac:dyDescent="0.3">
      <c r="A317" s="3"/>
      <c r="B317" s="7"/>
      <c r="C317" s="2"/>
      <c r="D317" s="10"/>
      <c r="E317" s="7"/>
      <c r="F317" s="2"/>
      <c r="G317" s="2"/>
      <c r="H317" s="7"/>
      <c r="I317" s="4"/>
      <c r="J317" s="2"/>
      <c r="K317" s="2"/>
      <c r="L317" s="12"/>
      <c r="M317" s="6"/>
    </row>
    <row r="318" spans="1:13" s="8" customFormat="1" ht="45" customHeight="1" thickBot="1" x14ac:dyDescent="0.3">
      <c r="A318" s="3"/>
      <c r="B318" s="7"/>
      <c r="C318" s="2"/>
      <c r="D318" s="10"/>
      <c r="E318" s="7"/>
      <c r="F318" s="2"/>
      <c r="G318" s="2"/>
      <c r="H318" s="7"/>
      <c r="I318" s="4"/>
      <c r="J318" s="2"/>
      <c r="K318" s="2"/>
      <c r="L318" s="12"/>
      <c r="M318" s="6"/>
    </row>
    <row r="319" spans="1:13" s="8" customFormat="1" ht="45" customHeight="1" thickBot="1" x14ac:dyDescent="0.3">
      <c r="A319" s="3"/>
      <c r="B319" s="7"/>
      <c r="C319" s="2"/>
      <c r="D319" s="10"/>
      <c r="E319" s="7"/>
      <c r="F319" s="2"/>
      <c r="G319" s="2"/>
      <c r="H319" s="7"/>
      <c r="I319" s="4"/>
      <c r="J319" s="2"/>
      <c r="K319" s="2"/>
      <c r="L319" s="12"/>
      <c r="M319" s="6"/>
    </row>
    <row r="320" spans="1:13" s="8" customFormat="1" ht="45" customHeight="1" thickBot="1" x14ac:dyDescent="0.3">
      <c r="A320" s="3"/>
      <c r="B320" s="7"/>
      <c r="C320" s="2"/>
      <c r="D320" s="10"/>
      <c r="E320" s="7"/>
      <c r="F320" s="2"/>
      <c r="G320" s="2"/>
      <c r="H320" s="7"/>
      <c r="I320" s="4"/>
      <c r="J320" s="2"/>
      <c r="K320" s="2"/>
      <c r="L320" s="12"/>
      <c r="M320" s="6"/>
    </row>
    <row r="321" spans="1:13" s="8" customFormat="1" ht="45" customHeight="1" thickBot="1" x14ac:dyDescent="0.3">
      <c r="A321" s="3"/>
      <c r="B321" s="7"/>
      <c r="C321" s="2"/>
      <c r="D321" s="10"/>
      <c r="E321" s="7"/>
      <c r="F321" s="2"/>
      <c r="G321" s="2"/>
      <c r="H321" s="7"/>
      <c r="I321" s="4"/>
      <c r="J321" s="2"/>
      <c r="K321" s="2"/>
      <c r="L321" s="12"/>
      <c r="M321" s="6"/>
    </row>
    <row r="322" spans="1:13" s="8" customFormat="1" ht="45" customHeight="1" thickBot="1" x14ac:dyDescent="0.3">
      <c r="A322" s="3"/>
      <c r="B322" s="7"/>
      <c r="C322" s="2"/>
      <c r="D322" s="10"/>
      <c r="E322" s="7"/>
      <c r="F322" s="2"/>
      <c r="G322" s="2"/>
      <c r="H322" s="7"/>
      <c r="I322" s="4"/>
      <c r="J322" s="2"/>
      <c r="K322" s="2"/>
      <c r="L322" s="12"/>
      <c r="M322" s="6"/>
    </row>
    <row r="323" spans="1:13" s="8" customFormat="1" ht="45" customHeight="1" thickBot="1" x14ac:dyDescent="0.3">
      <c r="A323" s="3"/>
      <c r="B323" s="7"/>
      <c r="C323" s="2"/>
      <c r="D323" s="10"/>
      <c r="E323" s="7"/>
      <c r="F323" s="2"/>
      <c r="G323" s="2"/>
      <c r="H323" s="7"/>
      <c r="I323" s="4"/>
      <c r="J323" s="2"/>
      <c r="K323" s="2"/>
      <c r="L323" s="12"/>
      <c r="M323" s="6"/>
    </row>
    <row r="324" spans="1:13" s="8" customFormat="1" ht="45" customHeight="1" thickBot="1" x14ac:dyDescent="0.3">
      <c r="A324" s="3"/>
      <c r="B324" s="7"/>
      <c r="C324" s="2"/>
      <c r="D324" s="10"/>
      <c r="E324" s="7"/>
      <c r="F324" s="2"/>
      <c r="G324" s="2"/>
      <c r="H324" s="7"/>
      <c r="I324" s="4"/>
      <c r="J324" s="2"/>
      <c r="K324" s="2"/>
      <c r="L324" s="12"/>
      <c r="M324" s="6"/>
    </row>
    <row r="325" spans="1:13" s="8" customFormat="1" ht="45" customHeight="1" thickBot="1" x14ac:dyDescent="0.3">
      <c r="A325" s="3"/>
      <c r="B325" s="7"/>
      <c r="C325" s="2"/>
      <c r="D325" s="10"/>
      <c r="E325" s="7"/>
      <c r="F325" s="2"/>
      <c r="G325" s="2"/>
      <c r="H325" s="7"/>
      <c r="I325" s="4"/>
      <c r="J325" s="2"/>
      <c r="K325" s="2"/>
      <c r="L325" s="12"/>
      <c r="M325" s="6"/>
    </row>
    <row r="326" spans="1:13" s="8" customFormat="1" ht="45" customHeight="1" thickBot="1" x14ac:dyDescent="0.3">
      <c r="A326" s="3"/>
      <c r="B326" s="7"/>
      <c r="C326" s="2"/>
      <c r="D326" s="10"/>
      <c r="E326" s="7"/>
      <c r="F326" s="2"/>
      <c r="G326" s="2"/>
      <c r="H326" s="7"/>
      <c r="I326" s="4"/>
      <c r="J326" s="2"/>
      <c r="K326" s="2"/>
      <c r="L326" s="12"/>
      <c r="M326" s="6"/>
    </row>
    <row r="327" spans="1:13" s="8" customFormat="1" ht="45" customHeight="1" thickBot="1" x14ac:dyDescent="0.3">
      <c r="A327" s="3"/>
      <c r="B327" s="7"/>
      <c r="C327" s="2"/>
      <c r="D327" s="10"/>
      <c r="E327" s="7"/>
      <c r="F327" s="2"/>
      <c r="G327" s="2"/>
      <c r="H327" s="7"/>
      <c r="I327" s="4"/>
      <c r="J327" s="2"/>
      <c r="K327" s="2"/>
      <c r="L327" s="12"/>
      <c r="M327" s="6"/>
    </row>
    <row r="328" spans="1:13" s="8" customFormat="1" ht="45" customHeight="1" thickBot="1" x14ac:dyDescent="0.3">
      <c r="A328" s="3"/>
      <c r="B328" s="7"/>
      <c r="C328" s="2"/>
      <c r="D328" s="10"/>
      <c r="E328" s="7"/>
      <c r="F328" s="2"/>
      <c r="G328" s="2"/>
      <c r="H328" s="7"/>
      <c r="I328" s="4"/>
      <c r="J328" s="2"/>
      <c r="K328" s="2"/>
      <c r="L328" s="12"/>
      <c r="M328" s="6"/>
    </row>
    <row r="329" spans="1:13" s="8" customFormat="1" ht="45" customHeight="1" thickBot="1" x14ac:dyDescent="0.3">
      <c r="A329" s="3"/>
      <c r="B329" s="7"/>
      <c r="C329" s="2"/>
      <c r="D329" s="10"/>
      <c r="E329" s="7"/>
      <c r="F329" s="2"/>
      <c r="G329" s="2"/>
      <c r="H329" s="7"/>
      <c r="I329" s="4"/>
      <c r="J329" s="2"/>
      <c r="K329" s="2"/>
      <c r="L329" s="12"/>
      <c r="M329" s="6"/>
    </row>
    <row r="330" spans="1:13" s="8" customFormat="1" ht="45" customHeight="1" thickBot="1" x14ac:dyDescent="0.3">
      <c r="A330" s="3"/>
      <c r="B330" s="7"/>
      <c r="C330" s="2"/>
      <c r="D330" s="10"/>
      <c r="E330" s="7"/>
      <c r="F330" s="2"/>
      <c r="G330" s="2"/>
      <c r="H330" s="7"/>
      <c r="I330" s="4"/>
      <c r="J330" s="2"/>
      <c r="K330" s="2"/>
      <c r="L330" s="12"/>
      <c r="M330" s="6"/>
    </row>
    <row r="331" spans="1:13" s="8" customFormat="1" ht="45" customHeight="1" thickBot="1" x14ac:dyDescent="0.3">
      <c r="A331" s="3"/>
      <c r="B331" s="7"/>
      <c r="C331" s="2"/>
      <c r="D331" s="10"/>
      <c r="E331" s="7"/>
      <c r="F331" s="2"/>
      <c r="G331" s="2"/>
      <c r="H331" s="7"/>
      <c r="I331" s="4"/>
      <c r="J331" s="2"/>
      <c r="K331" s="2"/>
      <c r="L331" s="12"/>
      <c r="M331" s="6"/>
    </row>
    <row r="332" spans="1:13" s="8" customFormat="1" ht="45" customHeight="1" thickBot="1" x14ac:dyDescent="0.3">
      <c r="A332" s="3"/>
      <c r="B332" s="7"/>
      <c r="C332" s="2"/>
      <c r="D332" s="10"/>
      <c r="E332" s="7"/>
      <c r="F332" s="2"/>
      <c r="G332" s="2"/>
      <c r="H332" s="7"/>
      <c r="I332" s="4"/>
      <c r="J332" s="2"/>
      <c r="K332" s="2"/>
      <c r="L332" s="12"/>
      <c r="M332" s="6"/>
    </row>
    <row r="333" spans="1:13" s="8" customFormat="1" ht="45" customHeight="1" thickBot="1" x14ac:dyDescent="0.3">
      <c r="A333" s="3"/>
      <c r="B333" s="7"/>
      <c r="C333" s="2"/>
      <c r="D333" s="10"/>
      <c r="E333" s="7"/>
      <c r="F333" s="2"/>
      <c r="G333" s="2"/>
      <c r="H333" s="7"/>
      <c r="I333" s="4"/>
      <c r="J333" s="2"/>
      <c r="K333" s="2"/>
      <c r="L333" s="12"/>
      <c r="M333" s="6"/>
    </row>
    <row r="334" spans="1:13" s="8" customFormat="1" ht="45" customHeight="1" thickBot="1" x14ac:dyDescent="0.3">
      <c r="A334" s="3"/>
      <c r="B334" s="7"/>
      <c r="C334" s="2"/>
      <c r="D334" s="10"/>
      <c r="E334" s="7"/>
      <c r="F334" s="2"/>
      <c r="G334" s="2"/>
      <c r="H334" s="7"/>
      <c r="I334" s="4"/>
      <c r="J334" s="2"/>
      <c r="K334" s="2"/>
      <c r="L334" s="12"/>
      <c r="M334" s="6"/>
    </row>
    <row r="335" spans="1:13" s="8" customFormat="1" ht="45" customHeight="1" thickBot="1" x14ac:dyDescent="0.3">
      <c r="A335" s="3"/>
      <c r="B335" s="7"/>
      <c r="C335" s="2"/>
      <c r="D335" s="10"/>
      <c r="E335" s="7"/>
      <c r="F335" s="2"/>
      <c r="G335" s="2"/>
      <c r="H335" s="7"/>
      <c r="I335" s="4"/>
      <c r="J335" s="2"/>
      <c r="K335" s="2"/>
      <c r="L335" s="12"/>
      <c r="M335" s="6"/>
    </row>
    <row r="336" spans="1:13" ht="45" customHeight="1" thickBot="1" x14ac:dyDescent="0.3">
      <c r="A336" s="3"/>
      <c r="B336" s="7"/>
      <c r="C336" s="2"/>
      <c r="D336" s="10"/>
      <c r="E336" s="7"/>
      <c r="F336" s="2"/>
      <c r="G336" s="2"/>
      <c r="H336" s="7"/>
      <c r="I336" s="4"/>
      <c r="J336" s="2"/>
      <c r="K336" s="4"/>
      <c r="L336" s="11"/>
      <c r="M336" s="6"/>
    </row>
    <row r="337" spans="1:13" ht="45" customHeight="1" thickBot="1" x14ac:dyDescent="0.3">
      <c r="A337" s="3"/>
      <c r="B337" s="7"/>
      <c r="C337" s="2"/>
      <c r="D337" s="10"/>
      <c r="E337" s="7"/>
      <c r="F337" s="2"/>
      <c r="G337" s="2"/>
      <c r="H337" s="7"/>
      <c r="I337" s="4"/>
      <c r="J337" s="2"/>
      <c r="K337" s="4"/>
      <c r="L337" s="11"/>
      <c r="M337" s="6"/>
    </row>
    <row r="338" spans="1:13" ht="45" customHeight="1" thickBot="1" x14ac:dyDescent="0.3">
      <c r="A338" s="3"/>
      <c r="B338" s="7"/>
      <c r="C338" s="2"/>
      <c r="D338" s="10"/>
      <c r="E338" s="7"/>
      <c r="F338" s="2"/>
      <c r="G338" s="2"/>
      <c r="H338" s="7"/>
      <c r="I338" s="4"/>
      <c r="J338" s="2"/>
      <c r="K338" s="4"/>
      <c r="L338" s="11"/>
      <c r="M338" s="6"/>
    </row>
    <row r="339" spans="1:13" ht="45" customHeight="1" thickBot="1" x14ac:dyDescent="0.3">
      <c r="A339" s="3"/>
      <c r="B339" s="7"/>
      <c r="C339" s="2"/>
      <c r="D339" s="10"/>
      <c r="E339" s="7"/>
      <c r="F339" s="2"/>
      <c r="G339" s="2"/>
      <c r="H339" s="7"/>
      <c r="I339" s="4"/>
      <c r="J339" s="2"/>
      <c r="K339" s="4"/>
      <c r="L339" s="11"/>
      <c r="M339" s="6"/>
    </row>
    <row r="340" spans="1:13" ht="45" customHeight="1" thickBot="1" x14ac:dyDescent="0.3">
      <c r="A340" s="3"/>
      <c r="B340" s="7"/>
      <c r="C340" s="2"/>
      <c r="D340" s="10"/>
      <c r="E340" s="7"/>
      <c r="F340" s="2"/>
      <c r="G340" s="2"/>
      <c r="H340" s="7"/>
      <c r="I340" s="4"/>
      <c r="J340" s="2"/>
      <c r="K340" s="4"/>
      <c r="L340" s="11"/>
      <c r="M340" s="6"/>
    </row>
    <row r="341" spans="1:13" ht="45" customHeight="1" thickBot="1" x14ac:dyDescent="0.3">
      <c r="A341" s="3"/>
      <c r="B341" s="7"/>
      <c r="C341" s="2"/>
      <c r="D341" s="10"/>
      <c r="E341" s="7"/>
      <c r="F341" s="2"/>
      <c r="G341" s="2"/>
      <c r="H341" s="7"/>
      <c r="I341" s="4"/>
      <c r="J341" s="2"/>
      <c r="K341" s="4"/>
      <c r="L341" s="11"/>
      <c r="M341" s="6"/>
    </row>
    <row r="342" spans="1:13" ht="45" customHeight="1" thickBot="1" x14ac:dyDescent="0.3">
      <c r="A342" s="3"/>
      <c r="B342" s="7"/>
      <c r="C342" s="2"/>
      <c r="D342" s="10"/>
      <c r="E342" s="7"/>
      <c r="F342" s="2"/>
      <c r="G342" s="2"/>
      <c r="H342" s="7"/>
      <c r="I342" s="4"/>
      <c r="J342" s="2"/>
      <c r="K342" s="4"/>
      <c r="L342" s="11"/>
      <c r="M342" s="6"/>
    </row>
    <row r="343" spans="1:13" ht="45" customHeight="1" thickBot="1" x14ac:dyDescent="0.3">
      <c r="A343" s="3"/>
      <c r="B343" s="7"/>
      <c r="C343" s="2"/>
      <c r="D343" s="10"/>
      <c r="E343" s="7"/>
      <c r="F343" s="2"/>
      <c r="G343" s="2"/>
      <c r="H343" s="7"/>
      <c r="I343" s="4"/>
      <c r="J343" s="2"/>
      <c r="K343" s="4"/>
      <c r="L343" s="11"/>
      <c r="M343" s="6"/>
    </row>
    <row r="344" spans="1:13" ht="45" customHeight="1" thickBot="1" x14ac:dyDescent="0.3">
      <c r="A344" s="3"/>
      <c r="B344" s="7"/>
      <c r="C344" s="2"/>
      <c r="D344" s="10"/>
      <c r="E344" s="7"/>
      <c r="F344" s="2"/>
      <c r="G344" s="2"/>
      <c r="H344" s="7"/>
      <c r="I344" s="4"/>
      <c r="J344" s="2"/>
      <c r="K344" s="4"/>
      <c r="L344" s="11"/>
      <c r="M344" s="6"/>
    </row>
    <row r="345" spans="1:13" ht="45" customHeight="1" thickBot="1" x14ac:dyDescent="0.3">
      <c r="A345" s="3"/>
      <c r="B345" s="7"/>
      <c r="C345" s="2"/>
      <c r="D345" s="10"/>
      <c r="E345" s="7"/>
      <c r="F345" s="2"/>
      <c r="G345" s="2"/>
      <c r="H345" s="7"/>
      <c r="I345" s="4"/>
      <c r="J345" s="2"/>
      <c r="K345" s="4"/>
      <c r="L345" s="11"/>
      <c r="M345" s="6"/>
    </row>
    <row r="346" spans="1:13" ht="45" customHeight="1" thickBot="1" x14ac:dyDescent="0.3">
      <c r="A346" s="3"/>
      <c r="B346" s="7"/>
      <c r="C346" s="2"/>
      <c r="D346" s="10"/>
      <c r="E346" s="7"/>
      <c r="F346" s="2"/>
      <c r="G346" s="2"/>
      <c r="H346" s="7"/>
      <c r="I346" s="4"/>
      <c r="J346" s="2"/>
      <c r="K346" s="4"/>
      <c r="L346" s="11"/>
      <c r="M346" s="6"/>
    </row>
    <row r="347" spans="1:13" ht="45" customHeight="1" thickBot="1" x14ac:dyDescent="0.3">
      <c r="A347" s="3"/>
      <c r="B347" s="7"/>
      <c r="C347" s="2"/>
      <c r="D347" s="10"/>
      <c r="E347" s="7"/>
      <c r="F347" s="2"/>
      <c r="G347" s="2"/>
      <c r="H347" s="7"/>
      <c r="I347" s="4"/>
      <c r="J347" s="2"/>
      <c r="K347" s="4"/>
      <c r="L347" s="11"/>
      <c r="M347" s="6"/>
    </row>
    <row r="348" spans="1:13" ht="45" customHeight="1" thickBot="1" x14ac:dyDescent="0.3">
      <c r="A348" s="3"/>
      <c r="B348" s="7"/>
      <c r="C348" s="2"/>
      <c r="D348" s="2"/>
      <c r="E348" s="7"/>
      <c r="F348" s="2"/>
      <c r="G348" s="2"/>
      <c r="H348" s="7"/>
      <c r="I348" s="4"/>
      <c r="J348" s="2"/>
      <c r="K348" s="4"/>
      <c r="L348" s="11"/>
      <c r="M348" s="6"/>
    </row>
    <row r="349" spans="1:13" ht="45" customHeight="1" thickBot="1" x14ac:dyDescent="0.3">
      <c r="A349" s="3"/>
      <c r="B349" s="7"/>
      <c r="C349" s="2"/>
      <c r="D349" s="2"/>
      <c r="E349" s="7"/>
      <c r="F349" s="2"/>
      <c r="G349" s="2"/>
      <c r="H349" s="7"/>
      <c r="I349" s="4"/>
      <c r="J349" s="2"/>
      <c r="K349" s="4"/>
      <c r="L349" s="11"/>
      <c r="M349" s="6"/>
    </row>
    <row r="350" spans="1:13" ht="45" customHeight="1" thickBot="1" x14ac:dyDescent="0.3">
      <c r="A350" s="3"/>
      <c r="B350" s="7"/>
      <c r="C350" s="7"/>
      <c r="D350" s="14"/>
      <c r="E350" s="7"/>
      <c r="F350" s="2"/>
      <c r="G350" s="2"/>
      <c r="H350" s="7"/>
      <c r="I350" s="4"/>
      <c r="J350" s="4"/>
      <c r="K350" s="4"/>
      <c r="L350" s="11"/>
      <c r="M350" s="5"/>
    </row>
    <row r="351" spans="1:13" ht="45" customHeight="1" thickBot="1" x14ac:dyDescent="0.3">
      <c r="A351" s="3"/>
      <c r="B351" s="7"/>
      <c r="C351" s="7"/>
      <c r="D351" s="14"/>
      <c r="E351" s="7"/>
      <c r="F351" s="2"/>
      <c r="G351" s="2"/>
      <c r="H351" s="7"/>
      <c r="I351" s="4"/>
      <c r="J351" s="4"/>
      <c r="K351" s="4"/>
      <c r="L351" s="11"/>
      <c r="M351" s="5"/>
    </row>
    <row r="352" spans="1:13" ht="45" customHeight="1" thickBot="1" x14ac:dyDescent="0.3">
      <c r="A352" s="3"/>
      <c r="B352" s="7"/>
      <c r="C352" s="2"/>
      <c r="D352" s="14"/>
      <c r="E352" s="7"/>
      <c r="F352" s="2"/>
      <c r="G352" s="2"/>
      <c r="H352" s="7"/>
      <c r="I352" s="4"/>
      <c r="J352" s="4"/>
      <c r="K352" s="4"/>
      <c r="L352" s="11"/>
      <c r="M352" s="5"/>
    </row>
    <row r="353" spans="1:13" s="8" customFormat="1" ht="45" customHeight="1" thickBot="1" x14ac:dyDescent="0.3">
      <c r="A353" s="3"/>
      <c r="B353" s="7"/>
      <c r="C353" s="4"/>
      <c r="D353" s="2"/>
      <c r="E353" s="7"/>
      <c r="F353" s="2"/>
      <c r="G353" s="2"/>
      <c r="H353" s="7"/>
      <c r="I353" s="4"/>
      <c r="J353" s="2"/>
      <c r="K353" s="2"/>
      <c r="L353" s="12"/>
      <c r="M353" s="6"/>
    </row>
    <row r="354" spans="1:13" s="8" customFormat="1" ht="45" customHeight="1" thickBot="1" x14ac:dyDescent="0.3">
      <c r="A354" s="3"/>
      <c r="B354" s="7"/>
      <c r="C354" s="4"/>
      <c r="D354" s="2"/>
      <c r="E354" s="7"/>
      <c r="F354" s="2"/>
      <c r="G354" s="2"/>
      <c r="H354" s="7"/>
      <c r="I354" s="4"/>
      <c r="J354" s="2"/>
      <c r="K354" s="2"/>
      <c r="L354" s="12"/>
      <c r="M354" s="6"/>
    </row>
    <row r="355" spans="1:13" s="8" customFormat="1" ht="45" customHeight="1" thickBot="1" x14ac:dyDescent="0.3">
      <c r="A355" s="3"/>
      <c r="B355" s="7"/>
      <c r="C355" s="4"/>
      <c r="D355" s="2"/>
      <c r="E355" s="7"/>
      <c r="F355" s="2"/>
      <c r="G355" s="2"/>
      <c r="H355" s="7"/>
      <c r="I355" s="4"/>
      <c r="J355" s="2"/>
      <c r="K355" s="2"/>
      <c r="L355" s="12"/>
      <c r="M355" s="6"/>
    </row>
    <row r="356" spans="1:13" s="8" customFormat="1" ht="45" customHeight="1" thickBot="1" x14ac:dyDescent="0.3">
      <c r="A356" s="3"/>
      <c r="B356" s="7"/>
      <c r="C356" s="4"/>
      <c r="D356" s="2"/>
      <c r="E356" s="7"/>
      <c r="F356" s="2"/>
      <c r="G356" s="2"/>
      <c r="H356" s="7"/>
      <c r="I356" s="4"/>
      <c r="J356" s="2"/>
      <c r="K356" s="2"/>
      <c r="L356" s="12"/>
      <c r="M356" s="6"/>
    </row>
    <row r="357" spans="1:13" ht="45" customHeight="1" thickBot="1" x14ac:dyDescent="0.3">
      <c r="A357" s="3"/>
      <c r="B357" s="7"/>
      <c r="C357" s="4"/>
      <c r="D357" s="14"/>
      <c r="E357" s="7"/>
      <c r="F357" s="2"/>
      <c r="G357" s="2"/>
      <c r="H357" s="7"/>
      <c r="I357" s="4"/>
      <c r="J357" s="4"/>
      <c r="K357" s="4"/>
      <c r="L357" s="11"/>
      <c r="M357" s="5"/>
    </row>
    <row r="358" spans="1:13" ht="45" customHeight="1" thickBot="1" x14ac:dyDescent="0.3">
      <c r="A358" s="3"/>
      <c r="B358" s="7"/>
      <c r="C358" s="4"/>
      <c r="D358" s="14"/>
      <c r="E358" s="7"/>
      <c r="F358" s="2"/>
      <c r="G358" s="2"/>
      <c r="H358" s="7"/>
      <c r="I358" s="4"/>
      <c r="J358" s="4"/>
      <c r="K358" s="4"/>
      <c r="L358" s="11"/>
      <c r="M358" s="5"/>
    </row>
    <row r="359" spans="1:13" ht="45" customHeight="1" thickBot="1" x14ac:dyDescent="0.3">
      <c r="A359" s="3"/>
      <c r="B359" s="7"/>
      <c r="C359" s="4"/>
      <c r="D359" s="14"/>
      <c r="E359" s="7"/>
      <c r="F359" s="2"/>
      <c r="G359" s="2"/>
      <c r="H359" s="7"/>
      <c r="I359" s="4"/>
      <c r="J359" s="4"/>
      <c r="K359" s="4"/>
      <c r="L359" s="11"/>
      <c r="M359" s="5"/>
    </row>
    <row r="360" spans="1:13" ht="45" customHeight="1" thickBot="1" x14ac:dyDescent="0.3">
      <c r="A360" s="3"/>
      <c r="B360" s="7"/>
      <c r="C360" s="4"/>
      <c r="D360" s="14"/>
      <c r="E360" s="7"/>
      <c r="F360" s="2"/>
      <c r="G360" s="2"/>
      <c r="H360" s="7"/>
      <c r="I360" s="4"/>
      <c r="J360" s="4"/>
      <c r="K360" s="4"/>
      <c r="L360" s="11"/>
      <c r="M360" s="5"/>
    </row>
    <row r="361" spans="1:13" s="8" customFormat="1" ht="45" customHeight="1" thickBot="1" x14ac:dyDescent="0.3">
      <c r="A361" s="3"/>
      <c r="B361" s="7"/>
      <c r="C361" s="4"/>
      <c r="D361" s="10"/>
      <c r="E361" s="7"/>
      <c r="F361" s="2"/>
      <c r="G361" s="2"/>
      <c r="H361" s="7"/>
      <c r="I361" s="4"/>
      <c r="J361" s="2"/>
      <c r="K361" s="2"/>
      <c r="L361" s="12"/>
      <c r="M361" s="6"/>
    </row>
    <row r="362" spans="1:13" s="8" customFormat="1" ht="45" customHeight="1" thickBot="1" x14ac:dyDescent="0.3">
      <c r="A362" s="3"/>
      <c r="B362" s="7"/>
      <c r="C362" s="4"/>
      <c r="D362" s="10"/>
      <c r="E362" s="7"/>
      <c r="F362" s="2"/>
      <c r="G362" s="2"/>
      <c r="H362" s="7"/>
      <c r="I362" s="4"/>
      <c r="J362" s="2"/>
      <c r="K362" s="2"/>
      <c r="L362" s="12"/>
      <c r="M362" s="6"/>
    </row>
    <row r="363" spans="1:13" s="8" customFormat="1" ht="45" customHeight="1" thickBot="1" x14ac:dyDescent="0.3">
      <c r="A363" s="3"/>
      <c r="B363" s="7"/>
      <c r="C363" s="4"/>
      <c r="D363" s="10"/>
      <c r="E363" s="7"/>
      <c r="F363" s="2"/>
      <c r="G363" s="2"/>
      <c r="H363" s="7"/>
      <c r="I363" s="4"/>
      <c r="J363" s="2"/>
      <c r="K363" s="2"/>
      <c r="L363" s="12"/>
      <c r="M363" s="6"/>
    </row>
    <row r="364" spans="1:13" s="8" customFormat="1" ht="45" customHeight="1" thickBot="1" x14ac:dyDescent="0.3">
      <c r="A364" s="3"/>
      <c r="B364" s="7"/>
      <c r="C364" s="4"/>
      <c r="D364" s="10"/>
      <c r="E364" s="7"/>
      <c r="F364" s="2"/>
      <c r="G364" s="2"/>
      <c r="H364" s="7"/>
      <c r="I364" s="4"/>
      <c r="J364" s="2"/>
      <c r="K364" s="2"/>
      <c r="L364" s="12"/>
      <c r="M364" s="6"/>
    </row>
    <row r="365" spans="1:13" s="8" customFormat="1" ht="45" customHeight="1" thickBot="1" x14ac:dyDescent="0.3">
      <c r="A365" s="3"/>
      <c r="B365" s="7"/>
      <c r="C365" s="4"/>
      <c r="D365" s="10"/>
      <c r="E365" s="7"/>
      <c r="F365" s="2"/>
      <c r="G365" s="2"/>
      <c r="H365" s="7"/>
      <c r="I365" s="4"/>
      <c r="J365" s="2"/>
      <c r="K365" s="2"/>
      <c r="L365" s="12"/>
      <c r="M365" s="6"/>
    </row>
    <row r="366" spans="1:13" s="8" customFormat="1" ht="45" customHeight="1" thickBot="1" x14ac:dyDescent="0.3">
      <c r="A366" s="3"/>
      <c r="B366" s="7"/>
      <c r="C366" s="4"/>
      <c r="D366" s="10"/>
      <c r="E366" s="7"/>
      <c r="F366" s="2"/>
      <c r="G366" s="2"/>
      <c r="H366" s="7"/>
      <c r="I366" s="4"/>
      <c r="J366" s="2"/>
      <c r="K366" s="2"/>
      <c r="L366" s="12"/>
      <c r="M366" s="6"/>
    </row>
    <row r="367" spans="1:13" ht="45" customHeight="1" thickBot="1" x14ac:dyDescent="0.3">
      <c r="A367" s="3"/>
      <c r="B367" s="7"/>
      <c r="C367" s="4"/>
      <c r="D367" s="10"/>
      <c r="E367" s="7"/>
      <c r="F367" s="2"/>
      <c r="G367" s="2"/>
      <c r="H367" s="7"/>
      <c r="I367" s="4"/>
      <c r="J367" s="2"/>
      <c r="K367" s="4"/>
      <c r="L367" s="11"/>
      <c r="M367" s="6"/>
    </row>
    <row r="368" spans="1:13" ht="45" customHeight="1" thickBot="1" x14ac:dyDescent="0.3">
      <c r="A368" s="3"/>
      <c r="B368" s="7"/>
      <c r="C368" s="4"/>
      <c r="D368" s="10"/>
      <c r="E368" s="7"/>
      <c r="F368" s="2"/>
      <c r="G368" s="2"/>
      <c r="H368" s="7"/>
      <c r="I368" s="4"/>
      <c r="J368" s="2"/>
      <c r="K368" s="4"/>
      <c r="L368" s="11"/>
      <c r="M368" s="6"/>
    </row>
    <row r="369" spans="1:13" ht="45" customHeight="1" thickBot="1" x14ac:dyDescent="0.3">
      <c r="A369" s="3"/>
      <c r="B369" s="7"/>
      <c r="C369" s="4"/>
      <c r="D369" s="10"/>
      <c r="E369" s="7"/>
      <c r="F369" s="2"/>
      <c r="G369" s="2"/>
      <c r="H369" s="7"/>
      <c r="I369" s="4"/>
      <c r="J369" s="2"/>
      <c r="K369" s="4"/>
      <c r="L369" s="11"/>
      <c r="M369" s="6"/>
    </row>
    <row r="370" spans="1:13" ht="45" customHeight="1" thickBot="1" x14ac:dyDescent="0.3">
      <c r="A370" s="3"/>
      <c r="B370" s="7"/>
      <c r="C370" s="4"/>
      <c r="D370" s="10"/>
      <c r="E370" s="7"/>
      <c r="F370" s="2"/>
      <c r="G370" s="2"/>
      <c r="H370" s="7"/>
      <c r="I370" s="4"/>
      <c r="J370" s="2"/>
      <c r="K370" s="4"/>
      <c r="L370" s="11"/>
      <c r="M370" s="6"/>
    </row>
    <row r="371" spans="1:13" s="8" customFormat="1" ht="45" customHeight="1" thickBot="1" x14ac:dyDescent="0.3">
      <c r="A371" s="3"/>
      <c r="B371" s="7"/>
      <c r="C371" s="4"/>
      <c r="D371" s="16"/>
      <c r="E371" s="7"/>
      <c r="F371" s="2"/>
      <c r="G371" s="2"/>
      <c r="H371" s="2"/>
      <c r="I371" s="4"/>
      <c r="J371" s="2"/>
      <c r="K371" s="2"/>
      <c r="L371" s="12"/>
      <c r="M371" s="6"/>
    </row>
    <row r="372" spans="1:13" ht="45" customHeight="1" thickBot="1" x14ac:dyDescent="0.3">
      <c r="A372" s="3"/>
      <c r="B372" s="7"/>
      <c r="C372" s="7"/>
      <c r="D372" s="14"/>
      <c r="E372" s="7"/>
      <c r="F372" s="2"/>
      <c r="G372" s="2"/>
      <c r="H372" s="7"/>
      <c r="I372" s="4"/>
      <c r="J372" s="4"/>
      <c r="K372" s="4"/>
      <c r="L372" s="11"/>
      <c r="M372" s="5"/>
    </row>
    <row r="373" spans="1:13" ht="45" customHeight="1" thickBot="1" x14ac:dyDescent="0.3">
      <c r="A373" s="3"/>
      <c r="B373" s="7"/>
      <c r="C373" s="2"/>
      <c r="D373" s="2"/>
      <c r="E373" s="7"/>
      <c r="F373" s="2"/>
      <c r="G373" s="2"/>
      <c r="H373" s="7"/>
      <c r="I373" s="4"/>
      <c r="J373" s="4"/>
      <c r="K373" s="4"/>
      <c r="L373" s="11"/>
      <c r="M373" s="44"/>
    </row>
    <row r="374" spans="1:13" ht="45" customHeight="1" thickBot="1" x14ac:dyDescent="0.3">
      <c r="A374" s="3"/>
      <c r="B374" s="7"/>
      <c r="C374" s="2"/>
      <c r="D374" s="2"/>
      <c r="E374" s="7"/>
      <c r="F374" s="2"/>
      <c r="G374" s="2"/>
      <c r="H374" s="7"/>
      <c r="I374" s="4"/>
      <c r="J374" s="4"/>
      <c r="K374" s="4"/>
      <c r="L374" s="11"/>
      <c r="M374" s="44"/>
    </row>
    <row r="375" spans="1:13" ht="45" customHeight="1" thickBot="1" x14ac:dyDescent="0.3">
      <c r="A375" s="3"/>
      <c r="B375" s="7"/>
      <c r="C375" s="2"/>
      <c r="D375" s="2"/>
      <c r="E375" s="7"/>
      <c r="F375" s="2"/>
      <c r="G375" s="2"/>
      <c r="H375" s="7"/>
      <c r="I375" s="4"/>
      <c r="J375" s="4"/>
      <c r="K375" s="4"/>
      <c r="L375" s="11"/>
      <c r="M375" s="44"/>
    </row>
    <row r="376" spans="1:13" ht="45" customHeight="1" thickBot="1" x14ac:dyDescent="0.3">
      <c r="A376" s="3"/>
      <c r="B376" s="7"/>
      <c r="C376" s="2"/>
      <c r="D376" s="2"/>
      <c r="E376" s="7"/>
      <c r="F376" s="2"/>
      <c r="G376" s="2"/>
      <c r="H376" s="7"/>
      <c r="I376" s="4"/>
      <c r="J376" s="4"/>
      <c r="K376" s="4"/>
      <c r="L376" s="11"/>
      <c r="M376" s="44"/>
    </row>
    <row r="377" spans="1:13" ht="45" customHeight="1" thickBot="1" x14ac:dyDescent="0.3">
      <c r="A377" s="3"/>
      <c r="B377" s="7"/>
      <c r="C377" s="2"/>
      <c r="D377" s="2"/>
      <c r="E377" s="7"/>
      <c r="F377" s="2"/>
      <c r="G377" s="2"/>
      <c r="H377" s="7"/>
      <c r="I377" s="4"/>
      <c r="J377" s="4"/>
      <c r="K377" s="4"/>
      <c r="L377" s="11"/>
      <c r="M377" s="44"/>
    </row>
    <row r="378" spans="1:13" ht="45" customHeight="1" thickBot="1" x14ac:dyDescent="0.3">
      <c r="A378" s="3"/>
      <c r="B378" s="7"/>
      <c r="C378" s="2"/>
      <c r="D378" s="2"/>
      <c r="E378" s="7"/>
      <c r="F378" s="2"/>
      <c r="G378" s="2"/>
      <c r="H378" s="7"/>
      <c r="I378" s="4"/>
      <c r="J378" s="4"/>
      <c r="K378" s="4"/>
      <c r="L378" s="11"/>
      <c r="M378" s="44"/>
    </row>
    <row r="379" spans="1:13" ht="45" customHeight="1" thickBot="1" x14ac:dyDescent="0.3">
      <c r="A379" s="3"/>
      <c r="B379" s="7"/>
      <c r="C379" s="2"/>
      <c r="D379" s="2"/>
      <c r="E379" s="7"/>
      <c r="F379" s="2"/>
      <c r="G379" s="2"/>
      <c r="H379" s="7"/>
      <c r="I379" s="4"/>
      <c r="J379" s="4"/>
      <c r="K379" s="4"/>
      <c r="L379" s="11"/>
      <c r="M379" s="44"/>
    </row>
    <row r="380" spans="1:13" ht="45" customHeight="1" thickBot="1" x14ac:dyDescent="0.3">
      <c r="A380" s="3"/>
      <c r="B380" s="7"/>
      <c r="C380" s="2"/>
      <c r="D380" s="2"/>
      <c r="E380" s="7"/>
      <c r="F380" s="2"/>
      <c r="G380" s="2"/>
      <c r="H380" s="7"/>
      <c r="I380" s="4"/>
      <c r="J380" s="4"/>
      <c r="K380" s="4"/>
      <c r="L380" s="11"/>
      <c r="M380" s="44"/>
    </row>
    <row r="381" spans="1:13" ht="45" customHeight="1" thickBot="1" x14ac:dyDescent="0.3">
      <c r="A381" s="3"/>
      <c r="B381" s="7"/>
      <c r="C381" s="2"/>
      <c r="D381" s="2"/>
      <c r="E381" s="7"/>
      <c r="F381" s="2"/>
      <c r="G381" s="2"/>
      <c r="H381" s="7"/>
      <c r="I381" s="4"/>
      <c r="J381" s="4"/>
      <c r="K381" s="4"/>
      <c r="L381" s="11"/>
      <c r="M381" s="44"/>
    </row>
    <row r="382" spans="1:13" ht="45" customHeight="1" thickBot="1" x14ac:dyDescent="0.3">
      <c r="A382" s="3"/>
      <c r="B382" s="7"/>
      <c r="C382" s="2"/>
      <c r="D382" s="2"/>
      <c r="E382" s="7"/>
      <c r="F382" s="2"/>
      <c r="G382" s="2"/>
      <c r="H382" s="7"/>
      <c r="I382" s="4"/>
      <c r="J382" s="4"/>
      <c r="K382" s="4"/>
      <c r="L382" s="11"/>
      <c r="M382" s="44"/>
    </row>
    <row r="383" spans="1:13" ht="45" customHeight="1" thickBot="1" x14ac:dyDescent="0.3">
      <c r="A383" s="3"/>
      <c r="B383" s="7"/>
      <c r="C383" s="2"/>
      <c r="D383" s="2"/>
      <c r="E383" s="7"/>
      <c r="F383" s="2"/>
      <c r="G383" s="2"/>
      <c r="H383" s="7"/>
      <c r="I383" s="4"/>
      <c r="J383" s="4"/>
      <c r="K383" s="4"/>
      <c r="L383" s="11"/>
      <c r="M383" s="44"/>
    </row>
    <row r="384" spans="1:13" ht="45" customHeight="1" thickBot="1" x14ac:dyDescent="0.3">
      <c r="A384" s="3"/>
      <c r="B384" s="7"/>
      <c r="C384" s="2"/>
      <c r="D384" s="2"/>
      <c r="E384" s="7"/>
      <c r="F384" s="2"/>
      <c r="G384" s="2"/>
      <c r="H384" s="7"/>
      <c r="I384" s="4"/>
      <c r="J384" s="4"/>
      <c r="K384" s="4"/>
      <c r="L384" s="11"/>
      <c r="M384" s="44"/>
    </row>
    <row r="385" spans="1:13" ht="45" customHeight="1" thickBot="1" x14ac:dyDescent="0.3">
      <c r="A385" s="3"/>
      <c r="B385" s="7"/>
      <c r="C385" s="2"/>
      <c r="D385" s="2"/>
      <c r="E385" s="7"/>
      <c r="F385" s="2"/>
      <c r="G385" s="2"/>
      <c r="H385" s="7"/>
      <c r="I385" s="4"/>
      <c r="J385" s="4"/>
      <c r="K385" s="4"/>
      <c r="L385" s="11"/>
      <c r="M385" s="44"/>
    </row>
    <row r="386" spans="1:13" ht="45" customHeight="1" thickBot="1" x14ac:dyDescent="0.3">
      <c r="A386" s="3"/>
      <c r="B386" s="7"/>
      <c r="C386" s="2"/>
      <c r="D386" s="2"/>
      <c r="E386" s="7"/>
      <c r="F386" s="2"/>
      <c r="G386" s="2"/>
      <c r="H386" s="7"/>
      <c r="I386" s="4"/>
      <c r="J386" s="4"/>
      <c r="K386" s="4"/>
      <c r="L386" s="11"/>
      <c r="M386" s="44"/>
    </row>
    <row r="387" spans="1:13" ht="45" customHeight="1" thickBot="1" x14ac:dyDescent="0.3">
      <c r="A387" s="3"/>
      <c r="B387" s="7"/>
      <c r="C387" s="2"/>
      <c r="D387" s="2"/>
      <c r="E387" s="7"/>
      <c r="F387" s="2"/>
      <c r="G387" s="2"/>
      <c r="H387" s="7"/>
      <c r="I387" s="4"/>
      <c r="J387" s="4"/>
      <c r="K387" s="4"/>
      <c r="L387" s="11"/>
      <c r="M387" s="44"/>
    </row>
    <row r="388" spans="1:13" ht="45" customHeight="1" thickBot="1" x14ac:dyDescent="0.3">
      <c r="A388" s="3"/>
      <c r="B388" s="7"/>
      <c r="C388" s="2"/>
      <c r="D388" s="2"/>
      <c r="E388" s="7"/>
      <c r="F388" s="2"/>
      <c r="G388" s="2"/>
      <c r="H388" s="7"/>
      <c r="I388" s="4"/>
      <c r="J388" s="4"/>
      <c r="K388" s="4"/>
      <c r="L388" s="11"/>
      <c r="M388" s="44"/>
    </row>
    <row r="389" spans="1:13" ht="45" customHeight="1" thickBot="1" x14ac:dyDescent="0.3">
      <c r="A389" s="3"/>
      <c r="B389" s="7"/>
      <c r="C389" s="2"/>
      <c r="D389" s="2"/>
      <c r="E389" s="7"/>
      <c r="F389" s="2"/>
      <c r="G389" s="2"/>
      <c r="H389" s="7"/>
      <c r="I389" s="4"/>
      <c r="J389" s="4"/>
      <c r="K389" s="4"/>
      <c r="L389" s="11"/>
      <c r="M389" s="44"/>
    </row>
    <row r="390" spans="1:13" ht="45" customHeight="1" thickBot="1" x14ac:dyDescent="0.3">
      <c r="A390" s="3"/>
      <c r="B390" s="7"/>
      <c r="C390" s="2"/>
      <c r="D390" s="2"/>
      <c r="E390" s="7"/>
      <c r="F390" s="2"/>
      <c r="G390" s="2"/>
      <c r="H390" s="7"/>
      <c r="I390" s="4"/>
      <c r="J390" s="4"/>
      <c r="K390" s="4"/>
      <c r="L390" s="11"/>
      <c r="M390" s="44"/>
    </row>
    <row r="391" spans="1:13" ht="45" customHeight="1" thickBot="1" x14ac:dyDescent="0.3">
      <c r="A391" s="3"/>
      <c r="B391" s="7"/>
      <c r="C391" s="2"/>
      <c r="D391" s="2"/>
      <c r="E391" s="7"/>
      <c r="F391" s="2"/>
      <c r="G391" s="2"/>
      <c r="H391" s="7"/>
      <c r="I391" s="4"/>
      <c r="J391" s="4"/>
      <c r="K391" s="4"/>
      <c r="L391" s="11"/>
      <c r="M391" s="44"/>
    </row>
    <row r="392" spans="1:13" ht="45" customHeight="1" thickBot="1" x14ac:dyDescent="0.3">
      <c r="A392" s="3"/>
      <c r="B392" s="7"/>
      <c r="C392" s="2"/>
      <c r="D392" s="2"/>
      <c r="E392" s="7"/>
      <c r="F392" s="2"/>
      <c r="G392" s="2"/>
      <c r="H392" s="7"/>
      <c r="I392" s="4"/>
      <c r="J392" s="4"/>
      <c r="K392" s="4"/>
      <c r="L392" s="11"/>
      <c r="M392" s="44"/>
    </row>
    <row r="393" spans="1:13" ht="45" customHeight="1" thickBot="1" x14ac:dyDescent="0.3">
      <c r="A393" s="3"/>
      <c r="B393" s="7"/>
      <c r="C393" s="2"/>
      <c r="D393" s="2"/>
      <c r="E393" s="7"/>
      <c r="F393" s="2"/>
      <c r="G393" s="2"/>
      <c r="H393" s="7"/>
      <c r="I393" s="4"/>
      <c r="J393" s="4"/>
      <c r="K393" s="4"/>
      <c r="L393" s="11"/>
      <c r="M393" s="44"/>
    </row>
    <row r="394" spans="1:13" ht="45" customHeight="1" thickBot="1" x14ac:dyDescent="0.3">
      <c r="A394" s="3"/>
      <c r="B394" s="7"/>
      <c r="C394" s="2"/>
      <c r="D394" s="2"/>
      <c r="E394" s="7"/>
      <c r="F394" s="2"/>
      <c r="G394" s="2"/>
      <c r="H394" s="7"/>
      <c r="I394" s="4"/>
      <c r="J394" s="4"/>
      <c r="K394" s="4"/>
      <c r="L394" s="11"/>
      <c r="M394" s="44"/>
    </row>
    <row r="395" spans="1:13" ht="45" customHeight="1" thickBot="1" x14ac:dyDescent="0.3">
      <c r="A395" s="3"/>
      <c r="B395" s="7"/>
      <c r="C395" s="2"/>
      <c r="D395" s="2"/>
      <c r="E395" s="7"/>
      <c r="F395" s="2"/>
      <c r="G395" s="2"/>
      <c r="H395" s="7"/>
      <c r="I395" s="4"/>
      <c r="J395" s="4"/>
      <c r="K395" s="4"/>
      <c r="L395" s="11"/>
      <c r="M395" s="44"/>
    </row>
    <row r="396" spans="1:13" ht="45" customHeight="1" thickBot="1" x14ac:dyDescent="0.3">
      <c r="A396" s="3"/>
      <c r="B396" s="7"/>
      <c r="C396" s="2"/>
      <c r="D396" s="2"/>
      <c r="E396" s="7"/>
      <c r="F396" s="2"/>
      <c r="G396" s="2"/>
      <c r="H396" s="7"/>
      <c r="I396" s="4"/>
      <c r="J396" s="4"/>
      <c r="K396" s="4"/>
      <c r="L396" s="11"/>
      <c r="M396" s="44"/>
    </row>
    <row r="397" spans="1:13" ht="45" customHeight="1" thickBot="1" x14ac:dyDescent="0.3">
      <c r="A397" s="3"/>
      <c r="B397" s="7"/>
      <c r="C397" s="2"/>
      <c r="D397" s="2"/>
      <c r="E397" s="7"/>
      <c r="F397" s="2"/>
      <c r="G397" s="2"/>
      <c r="H397" s="7"/>
      <c r="I397" s="4"/>
      <c r="J397" s="4"/>
      <c r="K397" s="4"/>
      <c r="L397" s="11"/>
      <c r="M397" s="44"/>
    </row>
    <row r="398" spans="1:13" ht="45" customHeight="1" thickBot="1" x14ac:dyDescent="0.3">
      <c r="A398" s="3"/>
      <c r="B398" s="7"/>
      <c r="C398" s="2"/>
      <c r="D398" s="2"/>
      <c r="E398" s="7"/>
      <c r="F398" s="2"/>
      <c r="G398" s="2"/>
      <c r="H398" s="7"/>
      <c r="I398" s="4"/>
      <c r="J398" s="4"/>
      <c r="K398" s="4"/>
      <c r="L398" s="11"/>
      <c r="M398" s="44"/>
    </row>
    <row r="399" spans="1:13" ht="45" customHeight="1" thickBot="1" x14ac:dyDescent="0.3">
      <c r="A399" s="3"/>
      <c r="B399" s="7"/>
      <c r="C399" s="2"/>
      <c r="D399" s="2"/>
      <c r="E399" s="7"/>
      <c r="F399" s="2"/>
      <c r="G399" s="2"/>
      <c r="H399" s="7"/>
      <c r="I399" s="4"/>
      <c r="J399" s="4"/>
      <c r="K399" s="4"/>
      <c r="L399" s="11"/>
      <c r="M399" s="44"/>
    </row>
    <row r="400" spans="1:13" ht="45" customHeight="1" thickBot="1" x14ac:dyDescent="0.3">
      <c r="A400" s="3"/>
      <c r="B400" s="7"/>
      <c r="C400" s="2"/>
      <c r="D400" s="2"/>
      <c r="E400" s="7"/>
      <c r="F400" s="2"/>
      <c r="G400" s="2"/>
      <c r="H400" s="7"/>
      <c r="I400" s="4"/>
      <c r="J400" s="4"/>
      <c r="K400" s="4"/>
      <c r="L400" s="11"/>
      <c r="M400" s="44"/>
    </row>
    <row r="401" spans="1:13" ht="45" customHeight="1" thickBot="1" x14ac:dyDescent="0.3">
      <c r="A401" s="3"/>
      <c r="B401" s="7"/>
      <c r="C401" s="2"/>
      <c r="D401" s="2"/>
      <c r="E401" s="7"/>
      <c r="F401" s="2"/>
      <c r="G401" s="2"/>
      <c r="H401" s="7"/>
      <c r="I401" s="4"/>
      <c r="J401" s="4"/>
      <c r="K401" s="4"/>
      <c r="L401" s="11"/>
      <c r="M401" s="44"/>
    </row>
    <row r="402" spans="1:13" ht="45" customHeight="1" thickBot="1" x14ac:dyDescent="0.3">
      <c r="A402" s="3"/>
      <c r="B402" s="7"/>
      <c r="C402" s="2"/>
      <c r="D402" s="2"/>
      <c r="E402" s="7"/>
      <c r="F402" s="2"/>
      <c r="G402" s="2"/>
      <c r="H402" s="7"/>
      <c r="I402" s="4"/>
      <c r="J402" s="4"/>
      <c r="K402" s="4"/>
      <c r="L402" s="11"/>
      <c r="M402" s="44"/>
    </row>
    <row r="403" spans="1:13" ht="45" customHeight="1" thickBot="1" x14ac:dyDescent="0.3">
      <c r="A403" s="3"/>
      <c r="B403" s="7"/>
      <c r="C403" s="2"/>
      <c r="D403" s="2"/>
      <c r="E403" s="7"/>
      <c r="F403" s="2"/>
      <c r="G403" s="2"/>
      <c r="H403" s="7"/>
      <c r="I403" s="4"/>
      <c r="J403" s="4"/>
      <c r="K403" s="4"/>
      <c r="L403" s="11"/>
      <c r="M403" s="44"/>
    </row>
    <row r="404" spans="1:13" ht="45" customHeight="1" thickBot="1" x14ac:dyDescent="0.3">
      <c r="A404" s="3"/>
      <c r="B404" s="7"/>
      <c r="C404" s="2"/>
      <c r="D404" s="2"/>
      <c r="E404" s="7"/>
      <c r="F404" s="2"/>
      <c r="G404" s="2"/>
      <c r="H404" s="7"/>
      <c r="I404" s="4"/>
      <c r="J404" s="4"/>
      <c r="K404" s="4"/>
      <c r="L404" s="11"/>
      <c r="M404" s="44"/>
    </row>
    <row r="405" spans="1:13" ht="45" customHeight="1" thickBot="1" x14ac:dyDescent="0.3">
      <c r="A405" s="3"/>
      <c r="B405" s="7"/>
      <c r="C405" s="2"/>
      <c r="D405" s="2"/>
      <c r="E405" s="7"/>
      <c r="F405" s="2"/>
      <c r="G405" s="2"/>
      <c r="H405" s="7"/>
      <c r="I405" s="4"/>
      <c r="J405" s="4"/>
      <c r="K405" s="4"/>
      <c r="L405" s="11"/>
      <c r="M405" s="44"/>
    </row>
    <row r="406" spans="1:13" ht="45" customHeight="1" thickBot="1" x14ac:dyDescent="0.3">
      <c r="A406" s="3"/>
      <c r="B406" s="7"/>
      <c r="C406" s="2"/>
      <c r="D406" s="2"/>
      <c r="E406" s="7"/>
      <c r="F406" s="2"/>
      <c r="G406" s="2"/>
      <c r="H406" s="7"/>
      <c r="I406" s="4"/>
      <c r="J406" s="4"/>
      <c r="K406" s="4"/>
      <c r="L406" s="11"/>
      <c r="M406" s="44"/>
    </row>
    <row r="407" spans="1:13" ht="45" customHeight="1" thickBot="1" x14ac:dyDescent="0.3">
      <c r="A407" s="3"/>
      <c r="B407" s="7"/>
      <c r="C407" s="2"/>
      <c r="D407" s="2"/>
      <c r="E407" s="7"/>
      <c r="F407" s="2"/>
      <c r="G407" s="2"/>
      <c r="H407" s="7"/>
      <c r="I407" s="4"/>
      <c r="J407" s="4"/>
      <c r="K407" s="4"/>
      <c r="L407" s="11"/>
      <c r="M407" s="44"/>
    </row>
    <row r="408" spans="1:13" ht="45" customHeight="1" thickBot="1" x14ac:dyDescent="0.3">
      <c r="A408" s="3"/>
      <c r="B408" s="7"/>
      <c r="C408" s="2"/>
      <c r="D408" s="2"/>
      <c r="E408" s="7"/>
      <c r="F408" s="2"/>
      <c r="G408" s="2"/>
      <c r="H408" s="7"/>
      <c r="I408" s="4"/>
      <c r="J408" s="4"/>
      <c r="K408" s="4"/>
      <c r="L408" s="11"/>
      <c r="M408" s="44"/>
    </row>
    <row r="409" spans="1:13" ht="45" customHeight="1" thickBot="1" x14ac:dyDescent="0.3">
      <c r="A409" s="3"/>
      <c r="B409" s="7"/>
      <c r="C409" s="2"/>
      <c r="D409" s="2"/>
      <c r="E409" s="7"/>
      <c r="F409" s="2"/>
      <c r="G409" s="2"/>
      <c r="H409" s="7"/>
      <c r="I409" s="4"/>
      <c r="J409" s="4"/>
      <c r="K409" s="4"/>
      <c r="L409" s="11"/>
      <c r="M409" s="44"/>
    </row>
    <row r="410" spans="1:13" ht="45" customHeight="1" thickBot="1" x14ac:dyDescent="0.3">
      <c r="A410" s="3"/>
      <c r="B410" s="7"/>
      <c r="C410" s="2"/>
      <c r="D410" s="2"/>
      <c r="E410" s="7"/>
      <c r="F410" s="2"/>
      <c r="G410" s="2"/>
      <c r="H410" s="7"/>
      <c r="I410" s="4"/>
      <c r="J410" s="4"/>
      <c r="K410" s="4"/>
      <c r="L410" s="11"/>
      <c r="M410" s="44"/>
    </row>
    <row r="411" spans="1:13" ht="45" customHeight="1" thickBot="1" x14ac:dyDescent="0.3">
      <c r="A411" s="3"/>
      <c r="B411" s="7"/>
      <c r="C411" s="2"/>
      <c r="D411" s="2"/>
      <c r="E411" s="7"/>
      <c r="F411" s="2"/>
      <c r="G411" s="2"/>
      <c r="H411" s="7"/>
      <c r="I411" s="4"/>
      <c r="J411" s="4"/>
      <c r="K411" s="4"/>
      <c r="L411" s="11"/>
      <c r="M411" s="44"/>
    </row>
    <row r="412" spans="1:13" ht="45" customHeight="1" thickBot="1" x14ac:dyDescent="0.3">
      <c r="A412" s="3"/>
      <c r="B412" s="7"/>
      <c r="C412" s="2"/>
      <c r="D412" s="2"/>
      <c r="E412" s="7"/>
      <c r="F412" s="2"/>
      <c r="G412" s="2"/>
      <c r="H412" s="7"/>
      <c r="I412" s="4"/>
      <c r="J412" s="4"/>
      <c r="K412" s="4"/>
      <c r="L412" s="11"/>
      <c r="M412" s="44"/>
    </row>
    <row r="413" spans="1:13" ht="45" customHeight="1" thickBot="1" x14ac:dyDescent="0.3">
      <c r="A413" s="3"/>
      <c r="B413" s="7"/>
      <c r="C413" s="2"/>
      <c r="D413" s="2"/>
      <c r="E413" s="7"/>
      <c r="F413" s="2"/>
      <c r="G413" s="2"/>
      <c r="H413" s="7"/>
      <c r="I413" s="4"/>
      <c r="J413" s="4"/>
      <c r="K413" s="4"/>
      <c r="L413" s="11"/>
      <c r="M413" s="44"/>
    </row>
    <row r="414" spans="1:13" ht="45" customHeight="1" thickBot="1" x14ac:dyDescent="0.3">
      <c r="A414" s="3"/>
      <c r="B414" s="7"/>
      <c r="C414" s="2"/>
      <c r="D414" s="2"/>
      <c r="E414" s="7"/>
      <c r="F414" s="2"/>
      <c r="G414" s="2"/>
      <c r="H414" s="7"/>
      <c r="I414" s="4"/>
      <c r="J414" s="4"/>
      <c r="K414" s="4"/>
      <c r="L414" s="11"/>
      <c r="M414" s="44"/>
    </row>
    <row r="415" spans="1:13" ht="45" customHeight="1" thickBot="1" x14ac:dyDescent="0.3">
      <c r="A415" s="3"/>
      <c r="B415" s="7"/>
      <c r="C415" s="2"/>
      <c r="D415" s="2"/>
      <c r="E415" s="7"/>
      <c r="F415" s="2"/>
      <c r="G415" s="2"/>
      <c r="H415" s="7"/>
      <c r="I415" s="4"/>
      <c r="J415" s="4"/>
      <c r="K415" s="4"/>
      <c r="L415" s="11"/>
      <c r="M415" s="44"/>
    </row>
    <row r="416" spans="1:13" ht="45" customHeight="1" thickBot="1" x14ac:dyDescent="0.3">
      <c r="A416" s="3"/>
      <c r="B416" s="7"/>
      <c r="C416" s="4"/>
      <c r="D416" s="2"/>
      <c r="E416" s="7"/>
      <c r="F416" s="2"/>
      <c r="G416" s="2"/>
      <c r="H416" s="7"/>
      <c r="I416" s="4"/>
      <c r="J416" s="4"/>
      <c r="K416" s="4"/>
      <c r="L416" s="11"/>
      <c r="M416" s="44"/>
    </row>
    <row r="417" spans="1:13" ht="45" customHeight="1" thickBot="1" x14ac:dyDescent="0.3">
      <c r="A417" s="3"/>
      <c r="B417" s="7"/>
      <c r="C417" s="4"/>
      <c r="D417" s="2"/>
      <c r="E417" s="7"/>
      <c r="F417" s="2"/>
      <c r="G417" s="2"/>
      <c r="H417" s="7"/>
      <c r="I417" s="4"/>
      <c r="J417" s="4"/>
      <c r="K417" s="4"/>
      <c r="L417" s="11"/>
      <c r="M417" s="44"/>
    </row>
    <row r="418" spans="1:13" s="8" customFormat="1" ht="45" customHeight="1" thickBot="1" x14ac:dyDescent="0.3">
      <c r="A418" s="3"/>
      <c r="B418" s="7"/>
      <c r="C418" s="2"/>
      <c r="D418" s="10"/>
      <c r="E418" s="7"/>
      <c r="F418" s="7"/>
      <c r="G418" s="7"/>
      <c r="H418" s="4"/>
      <c r="I418" s="4"/>
      <c r="J418" s="2"/>
      <c r="K418" s="2"/>
      <c r="L418" s="12"/>
      <c r="M418" s="6"/>
    </row>
    <row r="419" spans="1:13" s="8" customFormat="1" ht="45" customHeight="1" thickBot="1" x14ac:dyDescent="0.3">
      <c r="A419" s="3"/>
      <c r="B419" s="7"/>
      <c r="C419" s="2"/>
      <c r="D419" s="10"/>
      <c r="E419" s="7"/>
      <c r="F419" s="7"/>
      <c r="G419" s="7"/>
      <c r="H419" s="4"/>
      <c r="I419" s="4"/>
      <c r="J419" s="2"/>
      <c r="K419" s="2"/>
      <c r="L419" s="12"/>
      <c r="M419" s="6"/>
    </row>
    <row r="420" spans="1:13" s="8" customFormat="1" ht="45" customHeight="1" thickBot="1" x14ac:dyDescent="0.3">
      <c r="A420" s="3"/>
      <c r="B420" s="7"/>
      <c r="C420" s="2"/>
      <c r="D420" s="2"/>
      <c r="E420" s="7"/>
      <c r="F420" s="7"/>
      <c r="G420" s="7"/>
      <c r="H420" s="4"/>
      <c r="I420" s="4"/>
      <c r="J420" s="2"/>
      <c r="K420" s="2"/>
      <c r="L420" s="12"/>
      <c r="M420" s="6"/>
    </row>
    <row r="421" spans="1:13" s="8" customFormat="1" ht="45" customHeight="1" thickBot="1" x14ac:dyDescent="0.3">
      <c r="A421" s="3"/>
      <c r="B421" s="7"/>
      <c r="C421" s="2"/>
      <c r="D421" s="2"/>
      <c r="E421" s="7"/>
      <c r="F421" s="7"/>
      <c r="G421" s="7"/>
      <c r="H421" s="4"/>
      <c r="I421" s="4"/>
      <c r="J421" s="2"/>
      <c r="K421" s="2"/>
      <c r="L421" s="12"/>
      <c r="M421" s="6"/>
    </row>
    <row r="422" spans="1:13" s="8" customFormat="1" ht="45" customHeight="1" thickBot="1" x14ac:dyDescent="0.3">
      <c r="A422" s="3"/>
      <c r="B422" s="7"/>
      <c r="C422" s="2"/>
      <c r="D422" s="15"/>
      <c r="E422" s="7"/>
      <c r="F422" s="2"/>
      <c r="G422" s="2"/>
      <c r="H422" s="2"/>
      <c r="I422" s="4"/>
      <c r="J422" s="2"/>
      <c r="K422" s="2"/>
      <c r="L422" s="12"/>
      <c r="M422" s="6"/>
    </row>
    <row r="423" spans="1:13" s="8" customFormat="1" ht="45" customHeight="1" thickBot="1" x14ac:dyDescent="0.3">
      <c r="A423" s="3"/>
      <c r="B423" s="7"/>
      <c r="C423" s="2"/>
      <c r="D423" s="15"/>
      <c r="E423" s="2"/>
      <c r="F423" s="2"/>
      <c r="G423" s="2"/>
      <c r="H423" s="2"/>
      <c r="I423" s="4"/>
      <c r="J423" s="2"/>
      <c r="K423" s="2"/>
      <c r="L423" s="12"/>
      <c r="M423" s="6"/>
    </row>
    <row r="424" spans="1:13" s="8" customFormat="1" ht="45" customHeight="1" thickBot="1" x14ac:dyDescent="0.3">
      <c r="A424" s="3"/>
      <c r="B424" s="7"/>
      <c r="C424" s="2"/>
      <c r="D424" s="15"/>
      <c r="E424" s="2"/>
      <c r="F424" s="2"/>
      <c r="G424" s="2"/>
      <c r="H424" s="2"/>
      <c r="I424" s="4"/>
      <c r="J424" s="2"/>
      <c r="K424" s="2"/>
      <c r="L424" s="12"/>
      <c r="M424" s="6"/>
    </row>
    <row r="425" spans="1:13" s="8" customFormat="1" ht="45" customHeight="1" thickBot="1" x14ac:dyDescent="0.3">
      <c r="A425" s="3"/>
      <c r="B425" s="7"/>
      <c r="C425" s="2"/>
      <c r="D425" s="15"/>
      <c r="E425" s="2"/>
      <c r="F425" s="2"/>
      <c r="G425" s="2"/>
      <c r="H425" s="2"/>
      <c r="I425" s="4"/>
      <c r="J425" s="2"/>
      <c r="K425" s="2"/>
      <c r="L425" s="12"/>
      <c r="M425" s="6"/>
    </row>
    <row r="426" spans="1:13" s="8" customFormat="1" ht="45" customHeight="1" thickBot="1" x14ac:dyDescent="0.3">
      <c r="A426" s="3"/>
      <c r="B426" s="7"/>
      <c r="C426" s="2"/>
      <c r="D426" s="15"/>
      <c r="E426" s="2"/>
      <c r="F426" s="2"/>
      <c r="G426" s="2"/>
      <c r="H426" s="2"/>
      <c r="I426" s="4"/>
      <c r="J426" s="2"/>
      <c r="K426" s="2"/>
      <c r="L426" s="12"/>
      <c r="M426" s="6"/>
    </row>
    <row r="427" spans="1:13" s="8" customFormat="1" ht="45" customHeight="1" thickBot="1" x14ac:dyDescent="0.3">
      <c r="A427" s="3"/>
      <c r="B427" s="2" t="s">
        <v>18</v>
      </c>
      <c r="C427" s="2"/>
      <c r="D427" s="2"/>
      <c r="E427" s="2"/>
      <c r="F427" s="2"/>
      <c r="G427" s="2"/>
      <c r="H427" s="2"/>
      <c r="I427" s="2" t="s">
        <v>4</v>
      </c>
      <c r="J427" s="2">
        <f>SUM(J7:J426)</f>
        <v>0</v>
      </c>
      <c r="K427" s="2"/>
      <c r="L427" s="12"/>
      <c r="M427" s="6"/>
    </row>
  </sheetData>
  <autoFilter ref="A5:M61" xr:uid="{00000000-0009-0000-0000-000000000000}"/>
  <mergeCells count="16">
    <mergeCell ref="M5:M6"/>
    <mergeCell ref="A1:M2"/>
    <mergeCell ref="A3:M3"/>
    <mergeCell ref="A4:M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50" fitToHeight="0" orientation="landscape" r:id="rId1"/>
  <ignoredErrors>
    <ignoredError sqref="D63 D60:D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24"/>
  <sheetViews>
    <sheetView view="pageBreakPreview" topLeftCell="A4" zoomScaleNormal="100" zoomScaleSheetLayoutView="100" workbookViewId="0">
      <pane xSplit="2" ySplit="3" topLeftCell="C61" activePane="bottomRight" state="frozen"/>
      <selection activeCell="A4" sqref="A4"/>
      <selection pane="topRight" activeCell="C4" sqref="C4"/>
      <selection pane="bottomLeft" activeCell="A7" sqref="A7"/>
      <selection pane="bottomRight" activeCell="I67" sqref="I67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2.140625" style="1" bestFit="1" customWidth="1"/>
    <col min="4" max="4" width="33.5703125" style="1" customWidth="1"/>
    <col min="5" max="5" width="28" style="1" bestFit="1" customWidth="1"/>
    <col min="6" max="6" width="10.7109375" style="1" bestFit="1" customWidth="1"/>
    <col min="7" max="7" width="10.7109375" style="1" customWidth="1"/>
    <col min="8" max="8" width="25.28515625" style="1" bestFit="1" customWidth="1"/>
    <col min="9" max="9" width="9.140625" style="1"/>
    <col min="10" max="10" width="20.7109375" style="1" customWidth="1"/>
    <col min="11" max="12" width="20.7109375" style="1" hidden="1" customWidth="1"/>
    <col min="13" max="13" width="21.5703125" style="1" customWidth="1"/>
    <col min="14" max="16384" width="9.140625" style="1"/>
  </cols>
  <sheetData>
    <row r="1" spans="1:13" x14ac:dyDescent="0.25">
      <c r="A1" s="68"/>
      <c r="B1" s="69"/>
      <c r="C1" s="69"/>
      <c r="D1" s="69"/>
      <c r="E1" s="69"/>
      <c r="F1" s="69"/>
      <c r="G1" s="69"/>
      <c r="H1" s="69"/>
      <c r="I1" s="69"/>
      <c r="J1" s="69"/>
      <c r="K1" s="70"/>
      <c r="L1" s="70"/>
      <c r="M1" s="71"/>
    </row>
    <row r="2" spans="1:13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  <c r="L2" s="74"/>
      <c r="M2" s="75"/>
    </row>
    <row r="3" spans="1:13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6" t="s">
        <v>308</v>
      </c>
      <c r="H5" s="84" t="s">
        <v>27</v>
      </c>
      <c r="I5" s="86" t="s">
        <v>312</v>
      </c>
      <c r="J5" s="86" t="s">
        <v>24</v>
      </c>
      <c r="K5" s="86" t="s">
        <v>24</v>
      </c>
      <c r="L5" s="86" t="s">
        <v>25</v>
      </c>
      <c r="M5" s="66" t="s">
        <v>3</v>
      </c>
    </row>
    <row r="6" spans="1:13" ht="18" customHeight="1" thickBot="1" x14ac:dyDescent="0.3">
      <c r="A6" s="83"/>
      <c r="B6" s="85"/>
      <c r="C6" s="85"/>
      <c r="D6" s="85"/>
      <c r="E6" s="85"/>
      <c r="F6" s="85"/>
      <c r="G6" s="87"/>
      <c r="H6" s="85"/>
      <c r="I6" s="87"/>
      <c r="J6" s="87"/>
      <c r="K6" s="87"/>
      <c r="L6" s="87"/>
      <c r="M6" s="67"/>
    </row>
    <row r="7" spans="1:13" s="8" customFormat="1" ht="45" customHeight="1" thickBot="1" x14ac:dyDescent="0.3">
      <c r="A7" s="3"/>
      <c r="B7" s="7" t="s">
        <v>258</v>
      </c>
      <c r="C7" s="2" t="s">
        <v>310</v>
      </c>
      <c r="D7" s="16" t="s">
        <v>309</v>
      </c>
      <c r="E7" s="2" t="s">
        <v>311</v>
      </c>
      <c r="F7" s="2" t="s">
        <v>225</v>
      </c>
      <c r="G7" s="2">
        <v>2</v>
      </c>
      <c r="H7" s="4" t="s">
        <v>314</v>
      </c>
      <c r="I7" s="2">
        <v>1709.86</v>
      </c>
      <c r="J7" s="2" t="s">
        <v>154</v>
      </c>
      <c r="K7" s="12"/>
      <c r="L7" s="6"/>
    </row>
    <row r="8" spans="1:13" s="8" customFormat="1" ht="45" customHeight="1" thickBot="1" x14ac:dyDescent="0.3">
      <c r="A8" s="3"/>
      <c r="B8" s="7" t="s">
        <v>258</v>
      </c>
      <c r="C8" s="2" t="s">
        <v>310</v>
      </c>
      <c r="D8" s="16" t="s">
        <v>309</v>
      </c>
      <c r="E8" s="2" t="s">
        <v>311</v>
      </c>
      <c r="F8" s="2" t="s">
        <v>163</v>
      </c>
      <c r="G8" s="2">
        <v>2</v>
      </c>
      <c r="H8" s="4" t="s">
        <v>314</v>
      </c>
      <c r="I8" s="2">
        <v>1709.8598999999999</v>
      </c>
      <c r="J8" s="2" t="s">
        <v>154</v>
      </c>
      <c r="K8" s="12"/>
      <c r="L8" s="6"/>
    </row>
    <row r="9" spans="1:13" s="8" customFormat="1" ht="45" customHeight="1" thickBot="1" x14ac:dyDescent="0.3">
      <c r="A9" s="3"/>
      <c r="B9" s="7" t="s">
        <v>258</v>
      </c>
      <c r="C9" s="2" t="s">
        <v>453</v>
      </c>
      <c r="D9" s="16" t="s">
        <v>454</v>
      </c>
      <c r="E9" s="2" t="s">
        <v>311</v>
      </c>
      <c r="F9" s="2" t="s">
        <v>452</v>
      </c>
      <c r="G9" s="2">
        <v>1</v>
      </c>
      <c r="H9" s="4" t="s">
        <v>314</v>
      </c>
      <c r="I9" s="2">
        <v>1709.86</v>
      </c>
      <c r="J9" s="2" t="s">
        <v>154</v>
      </c>
      <c r="K9" s="12"/>
      <c r="L9" s="6"/>
      <c r="M9" s="46" t="s">
        <v>455</v>
      </c>
    </row>
    <row r="10" spans="1:13" s="8" customFormat="1" ht="45" customHeight="1" thickBot="1" x14ac:dyDescent="0.3">
      <c r="A10" s="3"/>
      <c r="B10" s="7" t="s">
        <v>258</v>
      </c>
      <c r="C10" s="2" t="s">
        <v>310</v>
      </c>
      <c r="D10" s="16" t="s">
        <v>313</v>
      </c>
      <c r="E10" s="2" t="s">
        <v>311</v>
      </c>
      <c r="F10" s="2" t="s">
        <v>225</v>
      </c>
      <c r="G10" s="2">
        <v>2</v>
      </c>
      <c r="H10" s="4" t="s">
        <v>314</v>
      </c>
      <c r="I10" s="2">
        <f>147.458*3</f>
        <v>442.37400000000002</v>
      </c>
      <c r="J10" s="2" t="s">
        <v>154</v>
      </c>
      <c r="K10" s="12"/>
      <c r="L10" s="6"/>
    </row>
    <row r="11" spans="1:13" s="8" customFormat="1" ht="45" customHeight="1" thickBot="1" x14ac:dyDescent="0.3">
      <c r="A11" s="3"/>
      <c r="B11" s="7" t="s">
        <v>258</v>
      </c>
      <c r="C11" s="2" t="s">
        <v>310</v>
      </c>
      <c r="D11" s="16" t="s">
        <v>313</v>
      </c>
      <c r="E11" s="2" t="s">
        <v>311</v>
      </c>
      <c r="F11" s="2" t="s">
        <v>163</v>
      </c>
      <c r="G11" s="2">
        <v>2</v>
      </c>
      <c r="H11" s="4" t="s">
        <v>314</v>
      </c>
      <c r="I11" s="2">
        <f>147.458*3</f>
        <v>442.37400000000002</v>
      </c>
      <c r="J11" s="2" t="s">
        <v>154</v>
      </c>
      <c r="K11" s="12"/>
      <c r="L11" s="6"/>
    </row>
    <row r="12" spans="1:13" s="8" customFormat="1" ht="45" customHeight="1" thickBot="1" x14ac:dyDescent="0.3">
      <c r="A12" s="3"/>
      <c r="B12" s="7" t="s">
        <v>258</v>
      </c>
      <c r="C12" s="2" t="s">
        <v>456</v>
      </c>
      <c r="D12" s="16" t="s">
        <v>373</v>
      </c>
      <c r="E12" s="2" t="s">
        <v>311</v>
      </c>
      <c r="F12" s="2" t="s">
        <v>452</v>
      </c>
      <c r="G12" s="2">
        <v>1</v>
      </c>
      <c r="H12" s="4" t="s">
        <v>314</v>
      </c>
      <c r="I12" s="2">
        <v>591.53</v>
      </c>
      <c r="J12" s="2" t="s">
        <v>154</v>
      </c>
      <c r="K12" s="12"/>
      <c r="L12" s="6"/>
      <c r="M12" s="46" t="s">
        <v>455</v>
      </c>
    </row>
    <row r="13" spans="1:13" s="8" customFormat="1" ht="129" thickBot="1" x14ac:dyDescent="0.3">
      <c r="A13" s="3"/>
      <c r="B13" s="7" t="s">
        <v>258</v>
      </c>
      <c r="C13" s="2" t="s">
        <v>317</v>
      </c>
      <c r="D13" s="16" t="s">
        <v>315</v>
      </c>
      <c r="E13" s="2" t="s">
        <v>311</v>
      </c>
      <c r="F13" s="2" t="s">
        <v>225</v>
      </c>
      <c r="G13" s="2">
        <v>5</v>
      </c>
      <c r="H13" s="4" t="s">
        <v>316</v>
      </c>
      <c r="I13" s="2">
        <v>3302.4470000000001</v>
      </c>
      <c r="J13" s="2" t="s">
        <v>154</v>
      </c>
      <c r="K13" s="12"/>
      <c r="L13" s="6"/>
    </row>
    <row r="14" spans="1:13" s="8" customFormat="1" ht="57.75" thickBot="1" x14ac:dyDescent="0.3">
      <c r="A14" s="3"/>
      <c r="B14" s="7" t="s">
        <v>258</v>
      </c>
      <c r="C14" s="2" t="s">
        <v>317</v>
      </c>
      <c r="D14" s="16" t="s">
        <v>318</v>
      </c>
      <c r="E14" s="2" t="s">
        <v>311</v>
      </c>
      <c r="F14" s="2" t="s">
        <v>225</v>
      </c>
      <c r="G14" s="2">
        <v>5</v>
      </c>
      <c r="H14" s="4" t="s">
        <v>316</v>
      </c>
      <c r="I14" s="2">
        <v>837.97500000000002</v>
      </c>
      <c r="J14" s="2" t="s">
        <v>154</v>
      </c>
      <c r="K14" s="12"/>
      <c r="L14" s="6"/>
    </row>
    <row r="15" spans="1:13" s="8" customFormat="1" ht="45.75" thickBot="1" x14ac:dyDescent="0.3">
      <c r="A15" s="3"/>
      <c r="B15" s="7" t="s">
        <v>258</v>
      </c>
      <c r="C15" s="7" t="s">
        <v>320</v>
      </c>
      <c r="D15" s="16" t="s">
        <v>11</v>
      </c>
      <c r="E15" s="2" t="s">
        <v>311</v>
      </c>
      <c r="F15" s="2" t="s">
        <v>225</v>
      </c>
      <c r="G15" s="2">
        <v>5</v>
      </c>
      <c r="H15" s="4" t="s">
        <v>319</v>
      </c>
      <c r="I15" s="2">
        <v>1338.211</v>
      </c>
      <c r="J15" s="2" t="s">
        <v>154</v>
      </c>
      <c r="K15" s="12"/>
      <c r="L15" s="6"/>
    </row>
    <row r="16" spans="1:13" s="8" customFormat="1" ht="30.75" thickBot="1" x14ac:dyDescent="0.3">
      <c r="A16" s="3"/>
      <c r="B16" s="7" t="s">
        <v>258</v>
      </c>
      <c r="C16" s="7" t="s">
        <v>322</v>
      </c>
      <c r="D16" s="16" t="s">
        <v>11</v>
      </c>
      <c r="E16" s="2" t="s">
        <v>311</v>
      </c>
      <c r="F16" s="2" t="s">
        <v>225</v>
      </c>
      <c r="G16" s="2">
        <v>5</v>
      </c>
      <c r="H16" s="4" t="s">
        <v>321</v>
      </c>
      <c r="I16" s="2">
        <v>1686.2339999999999</v>
      </c>
      <c r="J16" s="2" t="s">
        <v>34</v>
      </c>
      <c r="K16" s="12"/>
      <c r="L16" s="6"/>
    </row>
    <row r="17" spans="1:13" s="8" customFormat="1" ht="45.75" thickBot="1" x14ac:dyDescent="0.3">
      <c r="A17" s="3"/>
      <c r="B17" s="7" t="s">
        <v>258</v>
      </c>
      <c r="C17" s="7" t="s">
        <v>323</v>
      </c>
      <c r="D17" s="16" t="s">
        <v>11</v>
      </c>
      <c r="E17" s="2" t="s">
        <v>311</v>
      </c>
      <c r="F17" s="2" t="s">
        <v>225</v>
      </c>
      <c r="G17" s="2">
        <v>1</v>
      </c>
      <c r="H17" s="4" t="s">
        <v>321</v>
      </c>
      <c r="I17" s="2">
        <v>2408.9059999999999</v>
      </c>
      <c r="J17" s="2" t="s">
        <v>34</v>
      </c>
      <c r="K17" s="12"/>
      <c r="L17" s="6"/>
    </row>
    <row r="18" spans="1:13" s="8" customFormat="1" ht="45" customHeight="1" thickBot="1" x14ac:dyDescent="0.3">
      <c r="A18" s="3"/>
      <c r="B18" s="7" t="s">
        <v>258</v>
      </c>
      <c r="C18" s="2" t="s">
        <v>231</v>
      </c>
      <c r="D18" s="16" t="s">
        <v>324</v>
      </c>
      <c r="E18" s="2" t="s">
        <v>311</v>
      </c>
      <c r="F18" s="2" t="s">
        <v>225</v>
      </c>
      <c r="G18" s="2">
        <v>1</v>
      </c>
      <c r="H18" s="4" t="s">
        <v>321</v>
      </c>
      <c r="I18" s="2">
        <v>1118.67</v>
      </c>
      <c r="J18" s="2" t="s">
        <v>34</v>
      </c>
      <c r="K18" s="12"/>
      <c r="L18" s="6"/>
    </row>
    <row r="19" spans="1:13" s="8" customFormat="1" ht="45" customHeight="1" thickBot="1" x14ac:dyDescent="0.3">
      <c r="A19" s="3"/>
      <c r="B19" s="7" t="s">
        <v>258</v>
      </c>
      <c r="C19" s="2" t="s">
        <v>78</v>
      </c>
      <c r="D19" s="16" t="s">
        <v>328</v>
      </c>
      <c r="E19" s="2" t="s">
        <v>311</v>
      </c>
      <c r="F19" s="2" t="s">
        <v>225</v>
      </c>
      <c r="G19" s="2">
        <v>5</v>
      </c>
      <c r="H19" s="4" t="s">
        <v>321</v>
      </c>
      <c r="I19" s="2">
        <v>221.58</v>
      </c>
      <c r="J19" s="2" t="s">
        <v>34</v>
      </c>
      <c r="K19" s="12"/>
      <c r="L19" s="6"/>
      <c r="M19" s="8" t="s">
        <v>327</v>
      </c>
    </row>
    <row r="20" spans="1:13" s="8" customFormat="1" ht="45" customHeight="1" thickBot="1" x14ac:dyDescent="0.3">
      <c r="A20" s="3"/>
      <c r="B20" s="7" t="s">
        <v>258</v>
      </c>
      <c r="C20" s="2" t="s">
        <v>231</v>
      </c>
      <c r="D20" s="16" t="s">
        <v>325</v>
      </c>
      <c r="E20" s="2" t="s">
        <v>311</v>
      </c>
      <c r="F20" s="2" t="s">
        <v>225</v>
      </c>
      <c r="G20" s="2">
        <v>3</v>
      </c>
      <c r="H20" s="4" t="s">
        <v>321</v>
      </c>
      <c r="I20" s="2">
        <v>405.548</v>
      </c>
      <c r="J20" s="2" t="s">
        <v>34</v>
      </c>
      <c r="K20" s="12"/>
      <c r="L20" s="6"/>
    </row>
    <row r="21" spans="1:13" s="8" customFormat="1" ht="45" customHeight="1" thickBot="1" x14ac:dyDescent="0.3">
      <c r="A21" s="3"/>
      <c r="B21" s="7" t="s">
        <v>258</v>
      </c>
      <c r="C21" s="2" t="s">
        <v>276</v>
      </c>
      <c r="D21" s="16" t="s">
        <v>326</v>
      </c>
      <c r="E21" s="2" t="s">
        <v>311</v>
      </c>
      <c r="F21" s="2" t="s">
        <v>225</v>
      </c>
      <c r="G21" s="2">
        <v>5</v>
      </c>
      <c r="H21" s="4" t="s">
        <v>321</v>
      </c>
      <c r="I21" s="2">
        <v>878.06200000000001</v>
      </c>
      <c r="J21" s="2" t="s">
        <v>34</v>
      </c>
      <c r="K21" s="12"/>
      <c r="L21" s="6"/>
    </row>
    <row r="22" spans="1:13" s="8" customFormat="1" ht="45" customHeight="1" thickBot="1" x14ac:dyDescent="0.3">
      <c r="A22" s="3"/>
      <c r="B22" s="7" t="s">
        <v>258</v>
      </c>
      <c r="C22" s="2" t="s">
        <v>329</v>
      </c>
      <c r="D22" s="16" t="s">
        <v>42</v>
      </c>
      <c r="E22" s="2" t="s">
        <v>311</v>
      </c>
      <c r="F22" s="2" t="s">
        <v>225</v>
      </c>
      <c r="G22" s="2">
        <v>5</v>
      </c>
      <c r="H22" s="4" t="s">
        <v>321</v>
      </c>
      <c r="I22" s="2">
        <v>994.28</v>
      </c>
      <c r="J22" s="2" t="s">
        <v>34</v>
      </c>
      <c r="K22" s="12"/>
      <c r="L22" s="6"/>
    </row>
    <row r="23" spans="1:13" s="8" customFormat="1" ht="45" customHeight="1" thickBot="1" x14ac:dyDescent="0.3">
      <c r="A23" s="3"/>
      <c r="B23" s="7" t="s">
        <v>258</v>
      </c>
      <c r="C23" s="2" t="s">
        <v>341</v>
      </c>
      <c r="D23" s="16" t="s">
        <v>342</v>
      </c>
      <c r="E23" s="2" t="s">
        <v>311</v>
      </c>
      <c r="F23" s="2" t="s">
        <v>163</v>
      </c>
      <c r="G23" s="2">
        <v>2</v>
      </c>
      <c r="H23" s="4" t="s">
        <v>314</v>
      </c>
      <c r="I23" s="2">
        <v>1139.9069999999999</v>
      </c>
      <c r="J23" s="2" t="s">
        <v>154</v>
      </c>
      <c r="K23" s="12"/>
      <c r="L23" s="6"/>
      <c r="M23" s="46" t="s">
        <v>458</v>
      </c>
    </row>
    <row r="24" spans="1:13" s="8" customFormat="1" ht="45" customHeight="1" thickBot="1" x14ac:dyDescent="0.3">
      <c r="A24" s="3"/>
      <c r="B24" s="7" t="s">
        <v>258</v>
      </c>
      <c r="C24" s="2" t="s">
        <v>20</v>
      </c>
      <c r="D24" s="16" t="s">
        <v>396</v>
      </c>
      <c r="E24" s="2" t="s">
        <v>311</v>
      </c>
      <c r="F24" s="2" t="s">
        <v>452</v>
      </c>
      <c r="G24" s="2">
        <v>3</v>
      </c>
      <c r="H24" s="4" t="s">
        <v>314</v>
      </c>
      <c r="I24" s="2">
        <v>379.97</v>
      </c>
      <c r="J24" s="2" t="s">
        <v>154</v>
      </c>
      <c r="K24" s="12"/>
      <c r="L24" s="6"/>
      <c r="M24" s="46" t="s">
        <v>457</v>
      </c>
    </row>
    <row r="25" spans="1:13" s="8" customFormat="1" ht="45" customHeight="1" thickBot="1" x14ac:dyDescent="0.3">
      <c r="A25" s="3"/>
      <c r="B25" s="7" t="s">
        <v>258</v>
      </c>
      <c r="C25" s="2" t="s">
        <v>365</v>
      </c>
      <c r="D25" s="16" t="s">
        <v>366</v>
      </c>
      <c r="E25" s="2" t="s">
        <v>311</v>
      </c>
      <c r="F25" s="2" t="s">
        <v>73</v>
      </c>
      <c r="G25" s="2">
        <v>2</v>
      </c>
      <c r="H25" s="4" t="s">
        <v>314</v>
      </c>
      <c r="I25" s="2">
        <v>759.93799999999999</v>
      </c>
      <c r="J25" s="2" t="s">
        <v>154</v>
      </c>
      <c r="K25" s="12"/>
      <c r="L25" s="6"/>
    </row>
    <row r="26" spans="1:13" s="8" customFormat="1" ht="45" customHeight="1" thickBot="1" x14ac:dyDescent="0.3">
      <c r="A26" s="3"/>
      <c r="B26" s="7" t="s">
        <v>258</v>
      </c>
      <c r="C26" s="2" t="s">
        <v>344</v>
      </c>
      <c r="D26" s="16" t="s">
        <v>343</v>
      </c>
      <c r="E26" s="2" t="s">
        <v>311</v>
      </c>
      <c r="F26" s="2" t="s">
        <v>163</v>
      </c>
      <c r="G26" s="2">
        <v>2</v>
      </c>
      <c r="H26" s="4" t="s">
        <v>314</v>
      </c>
      <c r="I26" s="2">
        <f>147.458*2</f>
        <v>294.916</v>
      </c>
      <c r="J26" s="2" t="s">
        <v>154</v>
      </c>
      <c r="K26" s="12"/>
      <c r="L26" s="6"/>
    </row>
    <row r="27" spans="1:13" ht="45" customHeight="1" thickBot="1" x14ac:dyDescent="0.3">
      <c r="A27" s="9"/>
      <c r="B27" s="7" t="s">
        <v>467</v>
      </c>
      <c r="C27" s="4" t="s">
        <v>20</v>
      </c>
      <c r="D27" s="15" t="s">
        <v>397</v>
      </c>
      <c r="E27" s="2" t="s">
        <v>311</v>
      </c>
      <c r="F27" s="2" t="s">
        <v>468</v>
      </c>
      <c r="G27" s="2">
        <v>3</v>
      </c>
      <c r="H27" s="7" t="s">
        <v>472</v>
      </c>
      <c r="I27" s="2">
        <v>147.88300000000001</v>
      </c>
      <c r="J27" s="2" t="s">
        <v>154</v>
      </c>
      <c r="K27" s="4"/>
      <c r="L27" s="11"/>
      <c r="M27" s="5"/>
    </row>
    <row r="28" spans="1:13" s="8" customFormat="1" ht="45.75" thickBot="1" x14ac:dyDescent="0.3">
      <c r="A28" s="3"/>
      <c r="B28" s="7" t="s">
        <v>258</v>
      </c>
      <c r="C28" s="7" t="s">
        <v>323</v>
      </c>
      <c r="D28" s="16" t="s">
        <v>11</v>
      </c>
      <c r="E28" s="2" t="s">
        <v>311</v>
      </c>
      <c r="F28" s="2" t="s">
        <v>163</v>
      </c>
      <c r="G28" s="2">
        <v>4</v>
      </c>
      <c r="H28" s="4" t="s">
        <v>321</v>
      </c>
      <c r="I28" s="2">
        <v>2408.9059999999999</v>
      </c>
      <c r="J28" s="2" t="s">
        <v>34</v>
      </c>
      <c r="K28" s="12"/>
      <c r="L28" s="6"/>
    </row>
    <row r="29" spans="1:13" s="8" customFormat="1" ht="45" customHeight="1" thickBot="1" x14ac:dyDescent="0.3">
      <c r="A29" s="3"/>
      <c r="B29" s="7" t="s">
        <v>258</v>
      </c>
      <c r="C29" s="7" t="s">
        <v>317</v>
      </c>
      <c r="D29" s="16" t="s">
        <v>345</v>
      </c>
      <c r="E29" s="2" t="s">
        <v>311</v>
      </c>
      <c r="F29" s="2" t="s">
        <v>163</v>
      </c>
      <c r="G29" s="2">
        <v>1</v>
      </c>
      <c r="H29" s="4" t="s">
        <v>321</v>
      </c>
      <c r="I29" s="2">
        <v>595.26</v>
      </c>
      <c r="J29" s="2" t="s">
        <v>34</v>
      </c>
      <c r="K29" s="12"/>
      <c r="L29" s="6"/>
    </row>
    <row r="30" spans="1:13" s="8" customFormat="1" ht="45" customHeight="1" thickBot="1" x14ac:dyDescent="0.3">
      <c r="A30" s="3"/>
      <c r="B30" s="7" t="s">
        <v>258</v>
      </c>
      <c r="C30" s="7" t="s">
        <v>252</v>
      </c>
      <c r="D30" s="16" t="s">
        <v>346</v>
      </c>
      <c r="E30" s="2" t="s">
        <v>311</v>
      </c>
      <c r="F30" s="2" t="s">
        <v>163</v>
      </c>
      <c r="G30" s="2">
        <v>5</v>
      </c>
      <c r="H30" s="4" t="s">
        <v>321</v>
      </c>
      <c r="I30" s="2">
        <v>370.85599999999999</v>
      </c>
      <c r="J30" s="2" t="s">
        <v>34</v>
      </c>
      <c r="K30" s="12"/>
      <c r="L30" s="6"/>
    </row>
    <row r="31" spans="1:13" s="8" customFormat="1" ht="45" customHeight="1" thickBot="1" x14ac:dyDescent="0.3">
      <c r="A31" s="3"/>
      <c r="B31" s="7" t="s">
        <v>258</v>
      </c>
      <c r="C31" s="7" t="s">
        <v>347</v>
      </c>
      <c r="D31" s="16" t="s">
        <v>11</v>
      </c>
      <c r="E31" s="2" t="s">
        <v>311</v>
      </c>
      <c r="F31" s="2" t="s">
        <v>140</v>
      </c>
      <c r="G31" s="2">
        <v>5</v>
      </c>
      <c r="H31" s="4" t="s">
        <v>321</v>
      </c>
      <c r="I31" s="2">
        <v>278.23700000000002</v>
      </c>
      <c r="J31" s="2" t="s">
        <v>34</v>
      </c>
      <c r="K31" s="12"/>
      <c r="L31" s="6"/>
    </row>
    <row r="32" spans="1:13" s="8" customFormat="1" ht="45" customHeight="1" thickBot="1" x14ac:dyDescent="0.3">
      <c r="A32" s="3"/>
      <c r="B32" s="7" t="s">
        <v>258</v>
      </c>
      <c r="C32" s="2" t="s">
        <v>317</v>
      </c>
      <c r="D32" s="16" t="s">
        <v>241</v>
      </c>
      <c r="E32" s="2" t="s">
        <v>311</v>
      </c>
      <c r="F32" s="2" t="s">
        <v>140</v>
      </c>
      <c r="G32" s="2">
        <v>5</v>
      </c>
      <c r="H32" s="4" t="s">
        <v>321</v>
      </c>
      <c r="I32" s="2">
        <v>606.20000000000005</v>
      </c>
      <c r="J32" s="2" t="s">
        <v>34</v>
      </c>
      <c r="K32" s="12"/>
      <c r="L32" s="6"/>
    </row>
    <row r="33" spans="1:13" s="8" customFormat="1" ht="45" customHeight="1" thickBot="1" x14ac:dyDescent="0.3">
      <c r="A33" s="3"/>
      <c r="B33" s="7" t="s">
        <v>258</v>
      </c>
      <c r="C33" s="7" t="s">
        <v>348</v>
      </c>
      <c r="D33" s="16" t="s">
        <v>349</v>
      </c>
      <c r="E33" s="2" t="s">
        <v>311</v>
      </c>
      <c r="F33" s="2" t="s">
        <v>140</v>
      </c>
      <c r="G33" s="2">
        <v>5</v>
      </c>
      <c r="H33" s="4" t="s">
        <v>321</v>
      </c>
      <c r="I33" s="2">
        <v>698.18600000000004</v>
      </c>
      <c r="J33" s="2" t="s">
        <v>34</v>
      </c>
      <c r="K33" s="12"/>
      <c r="L33" s="6"/>
    </row>
    <row r="34" spans="1:13" s="8" customFormat="1" ht="45" customHeight="1" thickBot="1" x14ac:dyDescent="0.3">
      <c r="A34" s="3"/>
      <c r="B34" s="7" t="s">
        <v>258</v>
      </c>
      <c r="C34" s="7" t="s">
        <v>348</v>
      </c>
      <c r="D34" s="16" t="s">
        <v>350</v>
      </c>
      <c r="E34" s="2" t="s">
        <v>311</v>
      </c>
      <c r="F34" s="2" t="s">
        <v>140</v>
      </c>
      <c r="G34" s="2">
        <v>5</v>
      </c>
      <c r="H34" s="4" t="s">
        <v>319</v>
      </c>
      <c r="I34" s="2">
        <v>187.33</v>
      </c>
      <c r="J34" s="2" t="s">
        <v>154</v>
      </c>
      <c r="K34" s="12"/>
      <c r="L34" s="6"/>
    </row>
    <row r="35" spans="1:13" s="8" customFormat="1" ht="45" customHeight="1" thickBot="1" x14ac:dyDescent="0.3">
      <c r="A35" s="3"/>
      <c r="B35" s="7" t="s">
        <v>258</v>
      </c>
      <c r="C35" s="4" t="s">
        <v>19</v>
      </c>
      <c r="D35" s="16" t="s">
        <v>354</v>
      </c>
      <c r="E35" s="2" t="s">
        <v>353</v>
      </c>
      <c r="F35" s="2" t="s">
        <v>218</v>
      </c>
      <c r="G35" s="2">
        <v>2</v>
      </c>
      <c r="H35" s="4" t="s">
        <v>314</v>
      </c>
      <c r="I35" s="4">
        <v>675.92367999999999</v>
      </c>
      <c r="J35" s="2" t="s">
        <v>154</v>
      </c>
      <c r="K35" s="2"/>
      <c r="L35" s="12"/>
      <c r="M35" s="6"/>
    </row>
    <row r="36" spans="1:13" s="8" customFormat="1" ht="45" customHeight="1" thickBot="1" x14ac:dyDescent="0.3">
      <c r="A36" s="3"/>
      <c r="B36" s="7" t="s">
        <v>258</v>
      </c>
      <c r="C36" s="4" t="s">
        <v>14</v>
      </c>
      <c r="D36" s="16" t="s">
        <v>355</v>
      </c>
      <c r="E36" s="2" t="s">
        <v>353</v>
      </c>
      <c r="F36" s="2" t="s">
        <v>218</v>
      </c>
      <c r="G36" s="2">
        <v>2</v>
      </c>
      <c r="H36" s="4" t="s">
        <v>314</v>
      </c>
      <c r="I36" s="4">
        <v>353.79588000000001</v>
      </c>
      <c r="J36" s="2" t="s">
        <v>154</v>
      </c>
      <c r="K36" s="2"/>
      <c r="L36" s="12"/>
      <c r="M36" s="6"/>
    </row>
    <row r="37" spans="1:13" s="8" customFormat="1" ht="45" customHeight="1" thickBot="1" x14ac:dyDescent="0.3">
      <c r="A37" s="3"/>
      <c r="B37" s="7" t="s">
        <v>258</v>
      </c>
      <c r="C37" s="4" t="s">
        <v>15</v>
      </c>
      <c r="D37" s="16" t="s">
        <v>356</v>
      </c>
      <c r="E37" s="2" t="s">
        <v>353</v>
      </c>
      <c r="F37" s="2" t="s">
        <v>218</v>
      </c>
      <c r="G37" s="2">
        <v>2</v>
      </c>
      <c r="H37" s="4" t="s">
        <v>314</v>
      </c>
      <c r="I37" s="4">
        <v>520.404</v>
      </c>
      <c r="J37" s="2" t="s">
        <v>154</v>
      </c>
      <c r="K37" s="2"/>
      <c r="L37" s="12"/>
      <c r="M37" s="6"/>
    </row>
    <row r="38" spans="1:13" s="8" customFormat="1" ht="45" customHeight="1" thickBot="1" x14ac:dyDescent="0.3">
      <c r="A38" s="3"/>
      <c r="B38" s="7" t="s">
        <v>258</v>
      </c>
      <c r="C38" s="4" t="s">
        <v>16</v>
      </c>
      <c r="D38" s="16" t="s">
        <v>357</v>
      </c>
      <c r="E38" s="2" t="s">
        <v>353</v>
      </c>
      <c r="F38" s="2" t="s">
        <v>218</v>
      </c>
      <c r="G38" s="2">
        <v>2</v>
      </c>
      <c r="H38" s="4" t="s">
        <v>314</v>
      </c>
      <c r="I38" s="4">
        <v>675.5702</v>
      </c>
      <c r="J38" s="2" t="s">
        <v>154</v>
      </c>
      <c r="K38" s="2"/>
      <c r="L38" s="12"/>
      <c r="M38" s="6"/>
    </row>
    <row r="39" spans="1:13" s="8" customFormat="1" ht="45" customHeight="1" thickBot="1" x14ac:dyDescent="0.3">
      <c r="A39" s="3"/>
      <c r="B39" s="7" t="s">
        <v>258</v>
      </c>
      <c r="C39" s="4" t="s">
        <v>17</v>
      </c>
      <c r="D39" s="16" t="s">
        <v>156</v>
      </c>
      <c r="E39" s="2" t="s">
        <v>353</v>
      </c>
      <c r="F39" s="2" t="s">
        <v>218</v>
      </c>
      <c r="G39" s="2">
        <v>2</v>
      </c>
      <c r="H39" s="4" t="s">
        <v>314</v>
      </c>
      <c r="I39" s="4">
        <v>176.898</v>
      </c>
      <c r="J39" s="2" t="s">
        <v>154</v>
      </c>
      <c r="K39" s="2"/>
      <c r="L39" s="12"/>
      <c r="M39" s="6"/>
    </row>
    <row r="40" spans="1:13" s="8" customFormat="1" ht="45" customHeight="1" thickBot="1" x14ac:dyDescent="0.3">
      <c r="A40" s="3"/>
      <c r="B40" s="7" t="s">
        <v>258</v>
      </c>
      <c r="C40" s="7" t="s">
        <v>10</v>
      </c>
      <c r="D40" s="16" t="s">
        <v>146</v>
      </c>
      <c r="E40" s="2" t="s">
        <v>353</v>
      </c>
      <c r="F40" s="2" t="s">
        <v>218</v>
      </c>
      <c r="G40" s="2">
        <v>2</v>
      </c>
      <c r="H40" s="4" t="s">
        <v>314</v>
      </c>
      <c r="I40" s="4">
        <v>145.22986</v>
      </c>
      <c r="J40" s="2" t="s">
        <v>154</v>
      </c>
      <c r="K40" s="2"/>
      <c r="L40" s="12"/>
      <c r="M40" s="6"/>
    </row>
    <row r="41" spans="1:13" s="8" customFormat="1" ht="45" customHeight="1" thickBot="1" x14ac:dyDescent="0.3">
      <c r="A41" s="3"/>
      <c r="B41" s="7" t="s">
        <v>258</v>
      </c>
      <c r="C41" s="7" t="s">
        <v>10</v>
      </c>
      <c r="D41" s="16" t="s">
        <v>146</v>
      </c>
      <c r="E41" s="2" t="s">
        <v>353</v>
      </c>
      <c r="F41" s="2" t="s">
        <v>218</v>
      </c>
      <c r="G41" s="2">
        <v>5</v>
      </c>
      <c r="H41" s="7" t="s">
        <v>316</v>
      </c>
      <c r="I41" s="4">
        <v>54.484999999999999</v>
      </c>
      <c r="J41" s="2" t="s">
        <v>154</v>
      </c>
      <c r="K41" s="2"/>
      <c r="L41" s="12"/>
      <c r="M41" s="6"/>
    </row>
    <row r="42" spans="1:13" s="8" customFormat="1" ht="45" customHeight="1" thickBot="1" x14ac:dyDescent="0.3">
      <c r="A42" s="3"/>
      <c r="B42" s="7" t="s">
        <v>258</v>
      </c>
      <c r="C42" s="2" t="s">
        <v>252</v>
      </c>
      <c r="D42" s="16" t="s">
        <v>56</v>
      </c>
      <c r="E42" s="2" t="s">
        <v>311</v>
      </c>
      <c r="F42" s="2" t="s">
        <v>73</v>
      </c>
      <c r="G42" s="2">
        <v>5</v>
      </c>
      <c r="H42" s="4" t="s">
        <v>321</v>
      </c>
      <c r="I42" s="2">
        <v>634.07000000000005</v>
      </c>
      <c r="J42" s="2" t="s">
        <v>34</v>
      </c>
      <c r="K42" s="12"/>
      <c r="L42" s="6"/>
    </row>
    <row r="43" spans="1:13" s="8" customFormat="1" ht="45" customHeight="1" thickBot="1" x14ac:dyDescent="0.3">
      <c r="A43" s="3"/>
      <c r="B43" s="7" t="s">
        <v>258</v>
      </c>
      <c r="C43" s="2" t="s">
        <v>78</v>
      </c>
      <c r="D43" s="16" t="s">
        <v>324</v>
      </c>
      <c r="E43" s="2" t="s">
        <v>311</v>
      </c>
      <c r="F43" s="2" t="s">
        <v>73</v>
      </c>
      <c r="G43" s="2">
        <v>2</v>
      </c>
      <c r="H43" s="4" t="s">
        <v>321</v>
      </c>
      <c r="I43" s="2">
        <v>1036.3699999999999</v>
      </c>
      <c r="J43" s="2" t="s">
        <v>154</v>
      </c>
      <c r="K43" s="12"/>
      <c r="L43" s="6"/>
    </row>
    <row r="44" spans="1:13" s="8" customFormat="1" ht="45" customHeight="1" thickBot="1" x14ac:dyDescent="0.3">
      <c r="A44" s="3"/>
      <c r="B44" s="7" t="s">
        <v>258</v>
      </c>
      <c r="C44" s="2" t="s">
        <v>365</v>
      </c>
      <c r="D44" s="16" t="s">
        <v>366</v>
      </c>
      <c r="E44" s="2" t="s">
        <v>311</v>
      </c>
      <c r="F44" s="2" t="s">
        <v>73</v>
      </c>
      <c r="G44" s="2">
        <v>2</v>
      </c>
      <c r="H44" s="4" t="s">
        <v>314</v>
      </c>
      <c r="I44" s="2">
        <v>759.93799999999999</v>
      </c>
      <c r="J44" s="2" t="s">
        <v>154</v>
      </c>
      <c r="K44" s="12"/>
      <c r="L44" s="6"/>
    </row>
    <row r="45" spans="1:13" s="8" customFormat="1" ht="45" customHeight="1" thickBot="1" x14ac:dyDescent="0.3">
      <c r="A45" s="3"/>
      <c r="B45" s="7" t="s">
        <v>258</v>
      </c>
      <c r="C45" s="2" t="s">
        <v>13</v>
      </c>
      <c r="D45" s="16" t="s">
        <v>148</v>
      </c>
      <c r="E45" s="2" t="s">
        <v>311</v>
      </c>
      <c r="F45" s="2" t="s">
        <v>73</v>
      </c>
      <c r="G45" s="2">
        <v>2</v>
      </c>
      <c r="H45" s="4" t="s">
        <v>314</v>
      </c>
      <c r="I45" s="2">
        <v>147.44999999999999</v>
      </c>
      <c r="J45" s="2" t="s">
        <v>154</v>
      </c>
      <c r="K45" s="12"/>
      <c r="L45" s="6"/>
    </row>
    <row r="46" spans="1:13" s="8" customFormat="1" ht="45" customHeight="1" thickBot="1" x14ac:dyDescent="0.3">
      <c r="A46" s="3"/>
      <c r="B46" s="7" t="s">
        <v>258</v>
      </c>
      <c r="C46" s="7" t="s">
        <v>368</v>
      </c>
      <c r="D46" s="16" t="s">
        <v>367</v>
      </c>
      <c r="E46" s="2" t="s">
        <v>311</v>
      </c>
      <c r="F46" s="2" t="s">
        <v>73</v>
      </c>
      <c r="G46" s="2">
        <v>5</v>
      </c>
      <c r="H46" s="4" t="s">
        <v>321</v>
      </c>
      <c r="I46" s="2">
        <v>73.975999999999999</v>
      </c>
      <c r="J46" s="2" t="s">
        <v>34</v>
      </c>
      <c r="K46" s="12"/>
      <c r="L46" s="6"/>
    </row>
    <row r="47" spans="1:13" s="8" customFormat="1" ht="45" customHeight="1" thickBot="1" x14ac:dyDescent="0.3">
      <c r="A47" s="3"/>
      <c r="B47" s="7" t="s">
        <v>258</v>
      </c>
      <c r="C47" s="10" t="s">
        <v>372</v>
      </c>
      <c r="D47" s="16" t="s">
        <v>369</v>
      </c>
      <c r="E47" s="2" t="s">
        <v>311</v>
      </c>
      <c r="F47" s="2" t="s">
        <v>73</v>
      </c>
      <c r="G47" s="2">
        <v>5</v>
      </c>
      <c r="H47" s="45" t="s">
        <v>475</v>
      </c>
      <c r="I47" s="2">
        <v>341.3</v>
      </c>
      <c r="J47" s="2" t="s">
        <v>154</v>
      </c>
      <c r="K47" s="12"/>
      <c r="L47" s="6"/>
      <c r="M47" s="8" t="s">
        <v>370</v>
      </c>
    </row>
    <row r="48" spans="1:13" s="8" customFormat="1" ht="45" customHeight="1" thickBot="1" x14ac:dyDescent="0.3">
      <c r="A48" s="3"/>
      <c r="B48" s="7" t="s">
        <v>258</v>
      </c>
      <c r="C48" s="2" t="s">
        <v>371</v>
      </c>
      <c r="D48" s="16" t="s">
        <v>373</v>
      </c>
      <c r="E48" s="2" t="s">
        <v>311</v>
      </c>
      <c r="F48" s="2" t="s">
        <v>73</v>
      </c>
      <c r="G48" s="2">
        <v>5</v>
      </c>
      <c r="H48" s="45" t="s">
        <v>475</v>
      </c>
      <c r="I48" s="2">
        <v>50.62</v>
      </c>
      <c r="J48" s="2" t="s">
        <v>154</v>
      </c>
      <c r="K48" s="12"/>
      <c r="L48" s="6"/>
      <c r="M48" s="8" t="s">
        <v>370</v>
      </c>
    </row>
    <row r="49" spans="1:13" s="8" customFormat="1" ht="45" customHeight="1" thickBot="1" x14ac:dyDescent="0.3">
      <c r="A49" s="3"/>
      <c r="B49" s="7" t="s">
        <v>258</v>
      </c>
      <c r="C49" s="10" t="s">
        <v>371</v>
      </c>
      <c r="D49" s="16" t="s">
        <v>376</v>
      </c>
      <c r="E49" s="2" t="s">
        <v>311</v>
      </c>
      <c r="F49" s="2" t="s">
        <v>73</v>
      </c>
      <c r="G49" s="2">
        <v>5</v>
      </c>
      <c r="H49" s="4" t="s">
        <v>374</v>
      </c>
      <c r="I49" s="2">
        <v>199.59</v>
      </c>
      <c r="J49" s="2" t="s">
        <v>154</v>
      </c>
      <c r="K49" s="12"/>
      <c r="L49" s="6"/>
      <c r="M49" s="8" t="s">
        <v>375</v>
      </c>
    </row>
    <row r="50" spans="1:13" s="8" customFormat="1" ht="45" customHeight="1" thickBot="1" x14ac:dyDescent="0.3">
      <c r="A50" s="3"/>
      <c r="B50" s="7" t="s">
        <v>258</v>
      </c>
      <c r="C50" s="2" t="s">
        <v>310</v>
      </c>
      <c r="D50" s="16" t="s">
        <v>377</v>
      </c>
      <c r="E50" s="2" t="s">
        <v>311</v>
      </c>
      <c r="F50" s="2" t="s">
        <v>40</v>
      </c>
      <c r="G50" s="2">
        <v>1</v>
      </c>
      <c r="H50" s="4" t="s">
        <v>314</v>
      </c>
      <c r="I50" s="2">
        <v>569.95299999999997</v>
      </c>
      <c r="J50" s="2" t="s">
        <v>154</v>
      </c>
      <c r="K50" s="12"/>
      <c r="L50" s="6"/>
    </row>
    <row r="51" spans="1:13" s="8" customFormat="1" ht="45" customHeight="1" thickBot="1" x14ac:dyDescent="0.3">
      <c r="A51" s="3"/>
      <c r="B51" s="7" t="s">
        <v>258</v>
      </c>
      <c r="C51" s="2" t="s">
        <v>20</v>
      </c>
      <c r="D51" s="16" t="s">
        <v>396</v>
      </c>
      <c r="E51" s="2" t="s">
        <v>311</v>
      </c>
      <c r="F51" s="2" t="s">
        <v>59</v>
      </c>
      <c r="G51" s="2">
        <v>1</v>
      </c>
      <c r="H51" s="4" t="s">
        <v>395</v>
      </c>
      <c r="I51" s="2">
        <f>434.669</f>
        <v>434.66899999999998</v>
      </c>
      <c r="J51" s="2" t="s">
        <v>154</v>
      </c>
      <c r="K51" s="12"/>
      <c r="L51" s="6"/>
    </row>
    <row r="52" spans="1:13" s="8" customFormat="1" ht="45" customHeight="1" thickBot="1" x14ac:dyDescent="0.3">
      <c r="A52" s="3"/>
      <c r="B52" s="7" t="s">
        <v>258</v>
      </c>
      <c r="C52" s="2" t="s">
        <v>20</v>
      </c>
      <c r="D52" s="16" t="s">
        <v>397</v>
      </c>
      <c r="E52" s="2" t="s">
        <v>311</v>
      </c>
      <c r="F52" s="2" t="s">
        <v>59</v>
      </c>
      <c r="G52" s="2">
        <v>1</v>
      </c>
      <c r="H52" s="4" t="s">
        <v>395</v>
      </c>
      <c r="I52" s="2">
        <f>145.671</f>
        <v>145.67099999999999</v>
      </c>
      <c r="J52" s="2" t="s">
        <v>154</v>
      </c>
      <c r="K52" s="12"/>
      <c r="L52" s="6"/>
    </row>
    <row r="53" spans="1:13" s="8" customFormat="1" ht="45" customHeight="1" thickBot="1" x14ac:dyDescent="0.3">
      <c r="A53" s="3"/>
      <c r="B53" s="7" t="s">
        <v>258</v>
      </c>
      <c r="C53" s="4" t="s">
        <v>459</v>
      </c>
      <c r="D53" s="10" t="s">
        <v>460</v>
      </c>
      <c r="E53" s="2" t="s">
        <v>311</v>
      </c>
      <c r="F53" s="2" t="s">
        <v>452</v>
      </c>
      <c r="G53" s="2">
        <v>4</v>
      </c>
      <c r="H53" s="4" t="s">
        <v>395</v>
      </c>
      <c r="I53" s="4">
        <f>1738.68-104.82</f>
        <v>1633.8600000000001</v>
      </c>
      <c r="J53" s="2" t="s">
        <v>154</v>
      </c>
      <c r="K53" s="2"/>
      <c r="L53" s="12"/>
      <c r="M53" s="27" t="s">
        <v>461</v>
      </c>
    </row>
    <row r="54" spans="1:13" s="8" customFormat="1" ht="45" customHeight="1" thickBot="1" x14ac:dyDescent="0.3">
      <c r="A54" s="3"/>
      <c r="B54" s="7" t="s">
        <v>258</v>
      </c>
      <c r="C54" s="4" t="s">
        <v>462</v>
      </c>
      <c r="D54" s="16" t="s">
        <v>373</v>
      </c>
      <c r="E54" s="2" t="s">
        <v>311</v>
      </c>
      <c r="F54" s="2" t="s">
        <v>447</v>
      </c>
      <c r="G54" s="2">
        <v>4</v>
      </c>
      <c r="H54" s="4" t="s">
        <v>395</v>
      </c>
      <c r="I54" s="4">
        <v>582.67999999999995</v>
      </c>
      <c r="J54" s="2" t="s">
        <v>154</v>
      </c>
      <c r="K54" s="2"/>
      <c r="L54" s="12"/>
      <c r="M54" s="27" t="s">
        <v>463</v>
      </c>
    </row>
    <row r="55" spans="1:13" s="8" customFormat="1" ht="45" customHeight="1" thickBot="1" x14ac:dyDescent="0.3">
      <c r="A55" s="3"/>
      <c r="B55" s="7" t="s">
        <v>467</v>
      </c>
      <c r="C55" s="4" t="s">
        <v>470</v>
      </c>
      <c r="D55" s="16" t="s">
        <v>474</v>
      </c>
      <c r="E55" s="2" t="s">
        <v>311</v>
      </c>
      <c r="F55" s="2" t="s">
        <v>468</v>
      </c>
      <c r="G55" s="2">
        <v>5</v>
      </c>
      <c r="H55" s="7" t="s">
        <v>469</v>
      </c>
      <c r="I55" s="4">
        <v>78.760000000000005</v>
      </c>
      <c r="J55" s="2" t="s">
        <v>154</v>
      </c>
      <c r="K55" s="2"/>
      <c r="L55" s="12"/>
      <c r="M55" s="6"/>
    </row>
    <row r="56" spans="1:13" s="8" customFormat="1" ht="45" customHeight="1" thickBot="1" x14ac:dyDescent="0.3">
      <c r="A56" s="3"/>
      <c r="B56" s="7" t="s">
        <v>467</v>
      </c>
      <c r="C56" s="4" t="s">
        <v>471</v>
      </c>
      <c r="D56" s="16" t="s">
        <v>397</v>
      </c>
      <c r="E56" s="2" t="s">
        <v>311</v>
      </c>
      <c r="F56" s="2" t="s">
        <v>468</v>
      </c>
      <c r="G56" s="2">
        <v>5</v>
      </c>
      <c r="H56" s="7" t="s">
        <v>469</v>
      </c>
      <c r="I56" s="4">
        <v>17.925000000000001</v>
      </c>
      <c r="J56" s="2" t="s">
        <v>154</v>
      </c>
      <c r="K56" s="2"/>
      <c r="L56" s="12"/>
      <c r="M56" s="6"/>
    </row>
    <row r="57" spans="1:13" s="8" customFormat="1" ht="45" customHeight="1" thickBot="1" x14ac:dyDescent="0.3">
      <c r="A57" s="3"/>
      <c r="B57" s="7" t="s">
        <v>467</v>
      </c>
      <c r="C57" s="4" t="s">
        <v>471</v>
      </c>
      <c r="D57" s="15" t="s">
        <v>226</v>
      </c>
      <c r="E57" s="7" t="s">
        <v>311</v>
      </c>
      <c r="F57" s="2" t="s">
        <v>468</v>
      </c>
      <c r="G57" s="2">
        <v>5</v>
      </c>
      <c r="H57" s="7" t="s">
        <v>472</v>
      </c>
      <c r="I57" s="4">
        <v>189.98</v>
      </c>
      <c r="J57" s="2" t="s">
        <v>154</v>
      </c>
      <c r="K57" s="2"/>
      <c r="L57" s="12"/>
      <c r="M57" s="6"/>
    </row>
    <row r="58" spans="1:13" ht="45" customHeight="1" thickBot="1" x14ac:dyDescent="0.3">
      <c r="A58" s="3"/>
      <c r="B58" s="7" t="s">
        <v>467</v>
      </c>
      <c r="C58" s="4" t="s">
        <v>471</v>
      </c>
      <c r="D58" s="15" t="s">
        <v>226</v>
      </c>
      <c r="E58" s="7" t="s">
        <v>311</v>
      </c>
      <c r="F58" s="2" t="s">
        <v>468</v>
      </c>
      <c r="G58" s="2">
        <v>5</v>
      </c>
      <c r="H58" s="7" t="s">
        <v>395</v>
      </c>
      <c r="I58" s="4">
        <v>217.33</v>
      </c>
      <c r="J58" s="2" t="s">
        <v>154</v>
      </c>
      <c r="K58" s="4"/>
      <c r="L58" s="11"/>
      <c r="M58" s="5"/>
    </row>
    <row r="59" spans="1:13" ht="45" customHeight="1" thickBot="1" x14ac:dyDescent="0.3">
      <c r="A59" s="3"/>
      <c r="B59" s="7" t="s">
        <v>467</v>
      </c>
      <c r="C59" s="4" t="s">
        <v>14</v>
      </c>
      <c r="D59" s="15" t="s">
        <v>170</v>
      </c>
      <c r="E59" s="7" t="s">
        <v>311</v>
      </c>
      <c r="F59" s="2" t="s">
        <v>468</v>
      </c>
      <c r="G59" s="2">
        <v>5</v>
      </c>
      <c r="H59" s="7" t="s">
        <v>472</v>
      </c>
      <c r="I59" s="4">
        <v>102.99</v>
      </c>
      <c r="J59" s="2" t="s">
        <v>154</v>
      </c>
      <c r="K59" s="4"/>
      <c r="L59" s="11"/>
      <c r="M59" s="5"/>
    </row>
    <row r="60" spans="1:13" ht="45" customHeight="1" thickBot="1" x14ac:dyDescent="0.3">
      <c r="A60" s="3"/>
      <c r="B60" s="7" t="s">
        <v>467</v>
      </c>
      <c r="C60" s="4" t="s">
        <v>14</v>
      </c>
      <c r="D60" s="15" t="s">
        <v>170</v>
      </c>
      <c r="E60" s="7" t="s">
        <v>311</v>
      </c>
      <c r="F60" s="2" t="s">
        <v>468</v>
      </c>
      <c r="G60" s="2">
        <v>5</v>
      </c>
      <c r="H60" s="7" t="s">
        <v>473</v>
      </c>
      <c r="I60" s="4">
        <f>11.2</f>
        <v>11.2</v>
      </c>
      <c r="J60" s="2" t="s">
        <v>154</v>
      </c>
      <c r="K60" s="4"/>
      <c r="L60" s="11"/>
      <c r="M60" s="5"/>
    </row>
    <row r="61" spans="1:13" ht="45" customHeight="1" thickBot="1" x14ac:dyDescent="0.3">
      <c r="A61" s="3"/>
      <c r="B61" s="7" t="s">
        <v>467</v>
      </c>
      <c r="C61" s="4" t="s">
        <v>14</v>
      </c>
      <c r="D61" s="15" t="s">
        <v>170</v>
      </c>
      <c r="E61" s="7" t="s">
        <v>311</v>
      </c>
      <c r="F61" s="2" t="s">
        <v>468</v>
      </c>
      <c r="G61" s="2">
        <v>4</v>
      </c>
      <c r="H61" s="7" t="s">
        <v>395</v>
      </c>
      <c r="I61" s="4">
        <v>207.39</v>
      </c>
      <c r="J61" s="2" t="s">
        <v>154</v>
      </c>
      <c r="K61" s="4"/>
      <c r="L61" s="11"/>
      <c r="M61" s="5"/>
    </row>
    <row r="62" spans="1:13" ht="45" customHeight="1" thickBot="1" x14ac:dyDescent="0.3">
      <c r="A62" s="9"/>
      <c r="B62" s="7" t="s">
        <v>467</v>
      </c>
      <c r="C62" s="4" t="s">
        <v>196</v>
      </c>
      <c r="D62" s="15" t="s">
        <v>211</v>
      </c>
      <c r="E62" s="7" t="s">
        <v>311</v>
      </c>
      <c r="F62" s="2" t="s">
        <v>468</v>
      </c>
      <c r="G62" s="2">
        <v>1</v>
      </c>
      <c r="H62" s="7" t="s">
        <v>472</v>
      </c>
      <c r="I62" s="4">
        <v>189.98400000000001</v>
      </c>
      <c r="J62" s="2" t="s">
        <v>154</v>
      </c>
      <c r="K62" s="4"/>
      <c r="L62" s="11"/>
      <c r="M62" s="5"/>
    </row>
    <row r="63" spans="1:13" ht="45" customHeight="1" thickBot="1" x14ac:dyDescent="0.3">
      <c r="A63" s="9"/>
      <c r="B63" s="7" t="s">
        <v>467</v>
      </c>
      <c r="C63" s="4" t="s">
        <v>476</v>
      </c>
      <c r="D63" s="16" t="s">
        <v>477</v>
      </c>
      <c r="E63" s="7" t="s">
        <v>311</v>
      </c>
      <c r="F63" s="10" t="s">
        <v>480</v>
      </c>
      <c r="G63" s="2">
        <v>1</v>
      </c>
      <c r="H63" s="7" t="s">
        <v>395</v>
      </c>
      <c r="I63" s="4">
        <v>1648.8330000000001</v>
      </c>
      <c r="J63" s="2" t="s">
        <v>154</v>
      </c>
      <c r="K63" s="4"/>
      <c r="L63" s="11"/>
      <c r="M63" s="5"/>
    </row>
    <row r="64" spans="1:13" ht="45" customHeight="1" thickBot="1" x14ac:dyDescent="0.3">
      <c r="A64" s="9"/>
      <c r="B64" s="7" t="s">
        <v>467</v>
      </c>
      <c r="C64" s="4" t="s">
        <v>478</v>
      </c>
      <c r="D64" s="16" t="s">
        <v>479</v>
      </c>
      <c r="E64" s="7" t="s">
        <v>311</v>
      </c>
      <c r="F64" s="10" t="s">
        <v>480</v>
      </c>
      <c r="G64" s="2">
        <v>1</v>
      </c>
      <c r="H64" s="7" t="s">
        <v>395</v>
      </c>
      <c r="I64" s="4">
        <v>437.01299999999998</v>
      </c>
      <c r="J64" s="2" t="s">
        <v>154</v>
      </c>
      <c r="K64" s="4"/>
      <c r="L64" s="11"/>
      <c r="M64" s="5"/>
    </row>
    <row r="65" spans="1:13" s="8" customFormat="1" ht="45" customHeight="1" thickBot="1" x14ac:dyDescent="0.3">
      <c r="A65" s="3"/>
      <c r="B65" s="7" t="s">
        <v>467</v>
      </c>
      <c r="C65" s="4" t="s">
        <v>498</v>
      </c>
      <c r="D65" s="15" t="s">
        <v>499</v>
      </c>
      <c r="E65" s="7" t="s">
        <v>311</v>
      </c>
      <c r="F65" s="2" t="s">
        <v>500</v>
      </c>
      <c r="G65" s="2">
        <v>5</v>
      </c>
      <c r="H65" s="7" t="s">
        <v>319</v>
      </c>
      <c r="I65" s="4">
        <v>564</v>
      </c>
      <c r="J65" s="2" t="s">
        <v>154</v>
      </c>
      <c r="K65" s="2"/>
      <c r="L65" s="12"/>
      <c r="M65" s="6"/>
    </row>
    <row r="66" spans="1:13" ht="45" customHeight="1" thickBot="1" x14ac:dyDescent="0.3">
      <c r="A66" s="9"/>
      <c r="B66" s="7" t="s">
        <v>467</v>
      </c>
      <c r="C66" s="4" t="s">
        <v>498</v>
      </c>
      <c r="D66" s="15" t="s">
        <v>499</v>
      </c>
      <c r="E66" s="7" t="s">
        <v>311</v>
      </c>
      <c r="F66" s="2" t="s">
        <v>500</v>
      </c>
      <c r="G66" s="2">
        <v>4</v>
      </c>
      <c r="H66" s="7" t="s">
        <v>338</v>
      </c>
      <c r="I66" s="4">
        <v>1812.01</v>
      </c>
      <c r="J66" s="2" t="s">
        <v>154</v>
      </c>
      <c r="K66" s="4"/>
      <c r="L66" s="11"/>
      <c r="M66" s="5"/>
    </row>
    <row r="67" spans="1:13" ht="45" customHeight="1" thickBot="1" x14ac:dyDescent="0.3">
      <c r="A67" s="9"/>
      <c r="B67" s="7"/>
      <c r="C67" s="4"/>
      <c r="D67" s="15"/>
      <c r="E67" s="7"/>
      <c r="F67" s="2"/>
      <c r="G67" s="2"/>
      <c r="H67" s="7"/>
      <c r="I67" s="4"/>
      <c r="J67" s="4"/>
      <c r="K67" s="4"/>
      <c r="L67" s="11"/>
      <c r="M67" s="5"/>
    </row>
    <row r="68" spans="1:13" ht="45" customHeight="1" thickBot="1" x14ac:dyDescent="0.3">
      <c r="A68" s="9"/>
      <c r="B68" s="7"/>
      <c r="C68" s="4"/>
      <c r="D68" s="15"/>
      <c r="E68" s="7"/>
      <c r="F68" s="2"/>
      <c r="G68" s="2"/>
      <c r="H68" s="7"/>
      <c r="I68" s="4"/>
      <c r="J68" s="4"/>
      <c r="K68" s="4"/>
      <c r="L68" s="11"/>
      <c r="M68" s="5"/>
    </row>
    <row r="69" spans="1:13" ht="45" customHeight="1" thickBot="1" x14ac:dyDescent="0.3">
      <c r="A69" s="9"/>
      <c r="B69" s="7"/>
      <c r="C69" s="4"/>
      <c r="D69" s="15"/>
      <c r="E69" s="7"/>
      <c r="F69" s="2"/>
      <c r="G69" s="2"/>
      <c r="H69" s="7"/>
      <c r="I69" s="4"/>
      <c r="J69" s="4"/>
      <c r="K69" s="4"/>
      <c r="L69" s="11"/>
      <c r="M69" s="5"/>
    </row>
    <row r="70" spans="1:13" s="8" customFormat="1" ht="45" customHeight="1" thickBot="1" x14ac:dyDescent="0.3">
      <c r="A70" s="3"/>
      <c r="B70" s="7"/>
      <c r="C70" s="4"/>
      <c r="D70" s="15"/>
      <c r="E70" s="7"/>
      <c r="F70" s="2"/>
      <c r="G70" s="2"/>
      <c r="H70" s="7"/>
      <c r="I70" s="4"/>
      <c r="J70" s="2"/>
      <c r="K70" s="2"/>
      <c r="L70" s="12"/>
      <c r="M70" s="6"/>
    </row>
    <row r="71" spans="1:13" s="8" customFormat="1" ht="45" customHeight="1" thickBot="1" x14ac:dyDescent="0.3">
      <c r="A71" s="3"/>
      <c r="B71" s="7"/>
      <c r="C71" s="4"/>
      <c r="D71" s="15"/>
      <c r="E71" s="7"/>
      <c r="F71" s="2"/>
      <c r="G71" s="2"/>
      <c r="H71" s="7"/>
      <c r="I71" s="4"/>
      <c r="J71" s="2"/>
      <c r="K71" s="2"/>
      <c r="L71" s="12"/>
      <c r="M71" s="6"/>
    </row>
    <row r="72" spans="1:13" s="8" customFormat="1" ht="45" customHeight="1" thickBot="1" x14ac:dyDescent="0.3">
      <c r="A72" s="3"/>
      <c r="B72" s="7"/>
      <c r="C72" s="4"/>
      <c r="D72" s="15"/>
      <c r="E72" s="7"/>
      <c r="F72" s="2"/>
      <c r="G72" s="2"/>
      <c r="H72" s="7"/>
      <c r="I72" s="4"/>
      <c r="J72" s="2"/>
      <c r="K72" s="2"/>
      <c r="L72" s="12"/>
      <c r="M72" s="6"/>
    </row>
    <row r="73" spans="1:13" s="8" customFormat="1" ht="45" customHeight="1" thickBot="1" x14ac:dyDescent="0.3">
      <c r="A73" s="3"/>
      <c r="B73" s="7"/>
      <c r="C73" s="4"/>
      <c r="D73" s="15"/>
      <c r="E73" s="7"/>
      <c r="F73" s="2"/>
      <c r="G73" s="2"/>
      <c r="H73" s="7"/>
      <c r="I73" s="4"/>
      <c r="J73" s="2"/>
      <c r="K73" s="2"/>
      <c r="L73" s="12"/>
      <c r="M73" s="6"/>
    </row>
    <row r="74" spans="1:13" s="8" customFormat="1" ht="45" customHeight="1" thickBot="1" x14ac:dyDescent="0.3">
      <c r="A74" s="3"/>
      <c r="B74" s="7"/>
      <c r="C74" s="4"/>
      <c r="D74" s="15"/>
      <c r="E74" s="7"/>
      <c r="F74" s="2"/>
      <c r="G74" s="2"/>
      <c r="H74" s="7"/>
      <c r="I74" s="4"/>
      <c r="J74" s="2"/>
      <c r="K74" s="2"/>
      <c r="L74" s="12"/>
      <c r="M74" s="6"/>
    </row>
    <row r="75" spans="1:13" s="8" customFormat="1" ht="45" customHeight="1" thickBot="1" x14ac:dyDescent="0.3">
      <c r="A75" s="3"/>
      <c r="B75" s="7"/>
      <c r="C75" s="4"/>
      <c r="D75" s="15"/>
      <c r="E75" s="7"/>
      <c r="F75" s="2"/>
      <c r="G75" s="2"/>
      <c r="H75" s="7"/>
      <c r="I75" s="4"/>
      <c r="J75" s="2"/>
      <c r="K75" s="2"/>
      <c r="L75" s="12"/>
      <c r="M75" s="6"/>
    </row>
    <row r="76" spans="1:13" s="8" customFormat="1" ht="45" customHeight="1" thickBot="1" x14ac:dyDescent="0.3">
      <c r="A76" s="3"/>
      <c r="B76" s="7"/>
      <c r="C76" s="4"/>
      <c r="D76" s="15"/>
      <c r="E76" s="7"/>
      <c r="F76" s="2"/>
      <c r="G76" s="2"/>
      <c r="H76" s="7"/>
      <c r="I76" s="4"/>
      <c r="J76" s="2"/>
      <c r="K76" s="2"/>
      <c r="L76" s="12"/>
      <c r="M76" s="6"/>
    </row>
    <row r="77" spans="1:13" s="8" customFormat="1" ht="45" customHeight="1" thickBot="1" x14ac:dyDescent="0.3">
      <c r="A77" s="3"/>
      <c r="B77" s="7"/>
      <c r="C77" s="4"/>
      <c r="D77" s="15"/>
      <c r="E77" s="7"/>
      <c r="F77" s="2"/>
      <c r="G77" s="2"/>
      <c r="H77" s="4"/>
      <c r="I77" s="4"/>
      <c r="J77" s="2"/>
      <c r="K77" s="2"/>
      <c r="L77" s="12"/>
      <c r="M77" s="6"/>
    </row>
    <row r="78" spans="1:13" s="8" customFormat="1" ht="45" customHeight="1" thickBot="1" x14ac:dyDescent="0.3">
      <c r="A78" s="3"/>
      <c r="B78" s="7"/>
      <c r="C78" s="4"/>
      <c r="D78" s="15"/>
      <c r="E78" s="7"/>
      <c r="F78" s="2"/>
      <c r="G78" s="2"/>
      <c r="H78" s="7"/>
      <c r="I78" s="4"/>
      <c r="J78" s="2"/>
      <c r="K78" s="2"/>
      <c r="L78" s="12"/>
      <c r="M78" s="6"/>
    </row>
    <row r="79" spans="1:13" s="8" customFormat="1" ht="45" customHeight="1" thickBot="1" x14ac:dyDescent="0.3">
      <c r="A79" s="3"/>
      <c r="B79" s="7"/>
      <c r="C79" s="4"/>
      <c r="D79" s="10"/>
      <c r="E79" s="7"/>
      <c r="F79" s="2"/>
      <c r="G79" s="2"/>
      <c r="H79" s="4"/>
      <c r="I79" s="4"/>
      <c r="J79" s="2"/>
      <c r="K79" s="2"/>
      <c r="L79" s="12"/>
      <c r="M79" s="6"/>
    </row>
    <row r="80" spans="1:13" s="8" customFormat="1" ht="45" customHeight="1" thickBot="1" x14ac:dyDescent="0.3">
      <c r="A80" s="3"/>
      <c r="B80" s="7"/>
      <c r="C80" s="2"/>
      <c r="D80" s="10"/>
      <c r="E80" s="7"/>
      <c r="F80" s="2"/>
      <c r="G80" s="2"/>
      <c r="H80" s="4"/>
      <c r="I80" s="4"/>
      <c r="J80" s="2"/>
      <c r="K80" s="2"/>
      <c r="L80" s="12"/>
      <c r="M80" s="6"/>
    </row>
    <row r="81" spans="1:13" s="8" customFormat="1" ht="45" customHeight="1" thickBot="1" x14ac:dyDescent="0.3">
      <c r="A81" s="3"/>
      <c r="B81" s="7"/>
      <c r="C81" s="2"/>
      <c r="D81" s="15"/>
      <c r="E81" s="7"/>
      <c r="F81" s="2"/>
      <c r="G81" s="2"/>
      <c r="H81" s="7"/>
      <c r="I81" s="4"/>
      <c r="J81" s="2"/>
      <c r="K81" s="2"/>
      <c r="L81" s="12"/>
      <c r="M81" s="6"/>
    </row>
    <row r="82" spans="1:13" s="8" customFormat="1" ht="15.75" thickBot="1" x14ac:dyDescent="0.3">
      <c r="A82" s="3"/>
      <c r="B82" s="7"/>
      <c r="C82" s="2"/>
      <c r="D82" s="14"/>
      <c r="E82" s="7"/>
      <c r="F82" s="2"/>
      <c r="G82" s="2"/>
      <c r="H82" s="7"/>
      <c r="I82" s="4"/>
      <c r="J82" s="2"/>
      <c r="K82" s="2"/>
      <c r="L82" s="12"/>
      <c r="M82" s="6"/>
    </row>
    <row r="83" spans="1:13" s="8" customFormat="1" ht="15.75" thickBot="1" x14ac:dyDescent="0.3">
      <c r="A83" s="3"/>
      <c r="B83" s="7"/>
      <c r="C83" s="2"/>
      <c r="D83" s="14"/>
      <c r="E83" s="7"/>
      <c r="F83" s="2"/>
      <c r="G83" s="2"/>
      <c r="H83" s="7"/>
      <c r="I83" s="4"/>
      <c r="J83" s="2"/>
      <c r="K83" s="2"/>
      <c r="L83" s="12"/>
      <c r="M83" s="6"/>
    </row>
    <row r="84" spans="1:13" s="8" customFormat="1" ht="45" customHeight="1" thickBot="1" x14ac:dyDescent="0.3">
      <c r="A84" s="3"/>
      <c r="B84" s="7"/>
      <c r="C84" s="4"/>
      <c r="D84" s="15"/>
      <c r="E84" s="7"/>
      <c r="F84" s="2"/>
      <c r="G84" s="2"/>
      <c r="H84" s="7"/>
      <c r="I84" s="4"/>
      <c r="J84" s="2"/>
      <c r="K84" s="2"/>
      <c r="L84" s="12"/>
      <c r="M84" s="6"/>
    </row>
    <row r="85" spans="1:13" s="8" customFormat="1" ht="45" customHeight="1" thickBot="1" x14ac:dyDescent="0.3">
      <c r="A85" s="3"/>
      <c r="B85" s="7"/>
      <c r="C85" s="4"/>
      <c r="D85" s="15"/>
      <c r="E85" s="7"/>
      <c r="F85" s="2"/>
      <c r="G85" s="2"/>
      <c r="H85" s="7"/>
      <c r="I85" s="4"/>
      <c r="J85" s="2"/>
      <c r="K85" s="2"/>
      <c r="L85" s="12"/>
      <c r="M85" s="6"/>
    </row>
    <row r="86" spans="1:13" s="8" customFormat="1" ht="45" customHeight="1" thickBot="1" x14ac:dyDescent="0.3">
      <c r="A86" s="3"/>
      <c r="B86" s="7"/>
      <c r="C86" s="4"/>
      <c r="D86" s="15"/>
      <c r="E86" s="7"/>
      <c r="F86" s="2"/>
      <c r="G86" s="2"/>
      <c r="H86" s="7"/>
      <c r="I86" s="4"/>
      <c r="J86" s="2"/>
      <c r="K86" s="2"/>
      <c r="L86" s="12"/>
      <c r="M86" s="6"/>
    </row>
    <row r="87" spans="1:13" s="8" customFormat="1" ht="45" customHeight="1" thickBot="1" x14ac:dyDescent="0.3">
      <c r="A87" s="3"/>
      <c r="B87" s="7"/>
      <c r="C87" s="4"/>
      <c r="D87" s="15"/>
      <c r="E87" s="7"/>
      <c r="F87" s="2"/>
      <c r="G87" s="2"/>
      <c r="H87" s="7"/>
      <c r="I87" s="4"/>
      <c r="J87" s="2"/>
      <c r="K87" s="2"/>
      <c r="L87" s="12"/>
      <c r="M87" s="6"/>
    </row>
    <row r="88" spans="1:13" s="8" customFormat="1" ht="45" customHeight="1" thickBot="1" x14ac:dyDescent="0.3">
      <c r="A88" s="3"/>
      <c r="B88" s="7"/>
      <c r="C88" s="4"/>
      <c r="D88" s="15"/>
      <c r="E88" s="7"/>
      <c r="F88" s="2"/>
      <c r="G88" s="2"/>
      <c r="H88" s="7"/>
      <c r="I88" s="4"/>
      <c r="J88" s="2"/>
      <c r="K88" s="2"/>
      <c r="L88" s="12"/>
      <c r="M88" s="6"/>
    </row>
    <row r="89" spans="1:13" s="8" customFormat="1" ht="45" customHeight="1" thickBot="1" x14ac:dyDescent="0.3">
      <c r="A89" s="3"/>
      <c r="B89" s="7"/>
      <c r="C89" s="4"/>
      <c r="D89" s="15"/>
      <c r="E89" s="7"/>
      <c r="F89" s="2"/>
      <c r="G89" s="2"/>
      <c r="H89" s="7"/>
      <c r="I89" s="4"/>
      <c r="J89" s="2"/>
      <c r="K89" s="2"/>
      <c r="L89" s="12"/>
      <c r="M89" s="6"/>
    </row>
    <row r="90" spans="1:13" s="8" customFormat="1" ht="45" customHeight="1" thickBot="1" x14ac:dyDescent="0.3">
      <c r="A90" s="3"/>
      <c r="B90" s="7"/>
      <c r="C90" s="4"/>
      <c r="D90" s="15"/>
      <c r="E90" s="7"/>
      <c r="F90" s="2"/>
      <c r="G90" s="2"/>
      <c r="H90" s="7"/>
      <c r="I90" s="4"/>
      <c r="J90" s="2"/>
      <c r="K90" s="2"/>
      <c r="L90" s="12"/>
      <c r="M90" s="6"/>
    </row>
    <row r="91" spans="1:13" s="8" customFormat="1" ht="45" customHeight="1" thickBot="1" x14ac:dyDescent="0.3">
      <c r="A91" s="3"/>
      <c r="B91" s="7"/>
      <c r="C91" s="4"/>
      <c r="D91" s="15"/>
      <c r="E91" s="7"/>
      <c r="F91" s="2"/>
      <c r="G91" s="2"/>
      <c r="H91" s="7"/>
      <c r="I91" s="4"/>
      <c r="J91" s="2"/>
      <c r="K91" s="2"/>
      <c r="L91" s="12"/>
      <c r="M91" s="6"/>
    </row>
    <row r="92" spans="1:13" s="8" customFormat="1" ht="45" customHeight="1" thickBot="1" x14ac:dyDescent="0.3">
      <c r="A92" s="3"/>
      <c r="B92" s="7"/>
      <c r="C92" s="2"/>
      <c r="D92" s="10"/>
      <c r="E92" s="7"/>
      <c r="F92" s="2"/>
      <c r="G92" s="2"/>
      <c r="H92" s="7"/>
      <c r="I92" s="4"/>
      <c r="J92" s="2"/>
      <c r="K92" s="2"/>
      <c r="L92" s="12"/>
      <c r="M92" s="6"/>
    </row>
    <row r="93" spans="1:13" s="8" customFormat="1" ht="45" customHeight="1" thickBot="1" x14ac:dyDescent="0.3">
      <c r="A93" s="3"/>
      <c r="B93" s="7"/>
      <c r="C93" s="2"/>
      <c r="D93" s="10"/>
      <c r="E93" s="7"/>
      <c r="F93" s="2"/>
      <c r="G93" s="2"/>
      <c r="H93" s="7"/>
      <c r="I93" s="4"/>
      <c r="J93" s="2"/>
      <c r="K93" s="2"/>
      <c r="L93" s="12"/>
      <c r="M93" s="6"/>
    </row>
    <row r="94" spans="1:13" s="8" customFormat="1" ht="15.75" thickBot="1" x14ac:dyDescent="0.3">
      <c r="A94" s="3"/>
      <c r="B94" s="7"/>
      <c r="C94" s="2"/>
      <c r="D94" s="14"/>
      <c r="E94" s="7"/>
      <c r="F94" s="2"/>
      <c r="G94" s="2"/>
      <c r="H94" s="7"/>
      <c r="I94" s="4"/>
      <c r="J94" s="2"/>
      <c r="K94" s="2"/>
      <c r="L94" s="12"/>
      <c r="M94" s="6"/>
    </row>
    <row r="95" spans="1:13" s="8" customFormat="1" ht="15.75" thickBot="1" x14ac:dyDescent="0.3">
      <c r="A95" s="3"/>
      <c r="B95" s="7"/>
      <c r="C95" s="2"/>
      <c r="D95" s="14"/>
      <c r="E95" s="7"/>
      <c r="F95" s="2"/>
      <c r="G95" s="2"/>
      <c r="H95" s="7"/>
      <c r="I95" s="4"/>
      <c r="J95" s="2"/>
      <c r="K95" s="2"/>
      <c r="L95" s="12"/>
      <c r="M95" s="6"/>
    </row>
    <row r="96" spans="1:13" s="8" customFormat="1" ht="45" customHeight="1" thickBot="1" x14ac:dyDescent="0.3">
      <c r="A96" s="3"/>
      <c r="B96" s="7"/>
      <c r="C96" s="4"/>
      <c r="D96" s="15"/>
      <c r="E96" s="7"/>
      <c r="F96" s="2"/>
      <c r="G96" s="2"/>
      <c r="H96" s="7"/>
      <c r="I96" s="4"/>
      <c r="J96" s="2"/>
      <c r="K96" s="2"/>
      <c r="L96" s="12"/>
      <c r="M96" s="6"/>
    </row>
    <row r="97" spans="1:13" s="8" customFormat="1" ht="45" customHeight="1" thickBot="1" x14ac:dyDescent="0.3">
      <c r="A97" s="3"/>
      <c r="B97" s="7"/>
      <c r="C97" s="4"/>
      <c r="D97" s="15"/>
      <c r="E97" s="7"/>
      <c r="F97" s="2"/>
      <c r="G97" s="2"/>
      <c r="H97" s="7"/>
      <c r="I97" s="4"/>
      <c r="J97" s="2"/>
      <c r="K97" s="2"/>
      <c r="L97" s="12"/>
      <c r="M97" s="6"/>
    </row>
    <row r="98" spans="1:13" s="8" customFormat="1" ht="45" customHeight="1" thickBot="1" x14ac:dyDescent="0.3">
      <c r="A98" s="3"/>
      <c r="B98" s="7"/>
      <c r="C98" s="4"/>
      <c r="D98" s="15"/>
      <c r="E98" s="7"/>
      <c r="F98" s="2"/>
      <c r="G98" s="2"/>
      <c r="H98" s="7"/>
      <c r="I98" s="4"/>
      <c r="J98" s="2"/>
      <c r="K98" s="2"/>
      <c r="L98" s="12"/>
      <c r="M98" s="6"/>
    </row>
    <row r="99" spans="1:13" s="8" customFormat="1" ht="45" customHeight="1" thickBot="1" x14ac:dyDescent="0.3">
      <c r="A99" s="3"/>
      <c r="B99" s="7"/>
      <c r="C99" s="4"/>
      <c r="D99" s="15"/>
      <c r="E99" s="7"/>
      <c r="F99" s="2"/>
      <c r="G99" s="2"/>
      <c r="H99" s="7"/>
      <c r="I99" s="4"/>
      <c r="J99" s="2"/>
      <c r="K99" s="2"/>
      <c r="L99" s="12"/>
      <c r="M99" s="6"/>
    </row>
    <row r="100" spans="1:13" s="8" customFormat="1" ht="45" customHeight="1" thickBot="1" x14ac:dyDescent="0.3">
      <c r="A100" s="3"/>
      <c r="B100" s="7"/>
      <c r="C100" s="4"/>
      <c r="D100" s="15"/>
      <c r="E100" s="7"/>
      <c r="F100" s="2"/>
      <c r="G100" s="2"/>
      <c r="H100" s="7"/>
      <c r="I100" s="4"/>
      <c r="J100" s="2"/>
      <c r="K100" s="2"/>
      <c r="L100" s="12"/>
      <c r="M100" s="6"/>
    </row>
    <row r="101" spans="1:13" s="8" customFormat="1" ht="45" customHeight="1" thickBot="1" x14ac:dyDescent="0.3">
      <c r="A101" s="3"/>
      <c r="B101" s="7"/>
      <c r="C101" s="4"/>
      <c r="D101" s="15"/>
      <c r="E101" s="7"/>
      <c r="F101" s="2"/>
      <c r="G101" s="2"/>
      <c r="H101" s="2"/>
      <c r="I101" s="4"/>
      <c r="J101" s="2"/>
      <c r="K101" s="2"/>
      <c r="L101" s="12"/>
      <c r="M101" s="6"/>
    </row>
    <row r="102" spans="1:13" s="8" customFormat="1" ht="45" customHeight="1" thickBot="1" x14ac:dyDescent="0.3">
      <c r="A102" s="3"/>
      <c r="B102" s="7"/>
      <c r="C102" s="4"/>
      <c r="D102" s="15"/>
      <c r="E102" s="7"/>
      <c r="F102" s="2"/>
      <c r="G102" s="2"/>
      <c r="H102" s="2"/>
      <c r="I102" s="4"/>
      <c r="J102" s="2"/>
      <c r="K102" s="2"/>
      <c r="L102" s="12"/>
      <c r="M102" s="6"/>
    </row>
    <row r="103" spans="1:13" s="8" customFormat="1" ht="45" customHeight="1" thickBot="1" x14ac:dyDescent="0.3">
      <c r="A103" s="3"/>
      <c r="B103" s="7"/>
      <c r="C103" s="4"/>
      <c r="D103" s="15"/>
      <c r="E103" s="7"/>
      <c r="F103" s="2"/>
      <c r="G103" s="2"/>
      <c r="H103" s="2"/>
      <c r="I103" s="4"/>
      <c r="J103" s="2"/>
      <c r="K103" s="2"/>
      <c r="L103" s="12"/>
      <c r="M103" s="6"/>
    </row>
    <row r="104" spans="1:13" s="8" customFormat="1" ht="45" customHeight="1" thickBot="1" x14ac:dyDescent="0.3">
      <c r="A104" s="3"/>
      <c r="B104" s="7"/>
      <c r="C104" s="4"/>
      <c r="D104" s="15"/>
      <c r="E104" s="7"/>
      <c r="F104" s="2"/>
      <c r="G104" s="2"/>
      <c r="H104" s="2"/>
      <c r="I104" s="4"/>
      <c r="J104" s="2"/>
      <c r="K104" s="2"/>
      <c r="L104" s="12"/>
      <c r="M104" s="6"/>
    </row>
    <row r="105" spans="1:13" s="8" customFormat="1" ht="45" customHeight="1" thickBot="1" x14ac:dyDescent="0.3">
      <c r="A105" s="3"/>
      <c r="B105" s="7"/>
      <c r="C105" s="4"/>
      <c r="D105" s="10"/>
      <c r="E105" s="7"/>
      <c r="F105" s="2"/>
      <c r="G105" s="2"/>
      <c r="H105" s="2"/>
      <c r="I105" s="4"/>
      <c r="J105" s="2"/>
      <c r="K105" s="2"/>
      <c r="L105" s="12"/>
      <c r="M105" s="6"/>
    </row>
    <row r="106" spans="1:13" s="8" customFormat="1" ht="45" customHeight="1" thickBot="1" x14ac:dyDescent="0.3">
      <c r="A106" s="3"/>
      <c r="B106" s="7"/>
      <c r="C106" s="4"/>
      <c r="D106" s="16"/>
      <c r="E106" s="7"/>
      <c r="F106" s="2"/>
      <c r="G106" s="2"/>
      <c r="H106" s="2"/>
      <c r="I106" s="4"/>
      <c r="J106" s="2"/>
      <c r="K106" s="2"/>
      <c r="L106" s="12"/>
      <c r="M106" s="6"/>
    </row>
    <row r="107" spans="1:13" s="8" customFormat="1" ht="45" customHeight="1" thickBot="1" x14ac:dyDescent="0.3">
      <c r="A107" s="3"/>
      <c r="B107" s="7"/>
      <c r="C107" s="4"/>
      <c r="D107" s="16"/>
      <c r="E107" s="7"/>
      <c r="F107" s="2"/>
      <c r="G107" s="2"/>
      <c r="H107" s="2"/>
      <c r="I107" s="4"/>
      <c r="J107" s="2"/>
      <c r="K107" s="2"/>
      <c r="L107" s="12"/>
      <c r="M107" s="6"/>
    </row>
    <row r="108" spans="1:13" s="8" customFormat="1" ht="45" customHeight="1" thickBot="1" x14ac:dyDescent="0.3">
      <c r="A108" s="3"/>
      <c r="B108" s="7"/>
      <c r="C108" s="4"/>
      <c r="D108" s="15"/>
      <c r="E108" s="7"/>
      <c r="F108" s="2"/>
      <c r="G108" s="2"/>
      <c r="H108" s="2"/>
      <c r="I108" s="4"/>
      <c r="J108" s="2"/>
      <c r="K108" s="2"/>
      <c r="L108" s="12"/>
      <c r="M108" s="6"/>
    </row>
    <row r="109" spans="1:13" s="8" customFormat="1" ht="45" customHeight="1" thickBot="1" x14ac:dyDescent="0.3">
      <c r="A109" s="3"/>
      <c r="B109" s="7"/>
      <c r="C109" s="4"/>
      <c r="D109" s="15"/>
      <c r="E109" s="7"/>
      <c r="F109" s="2"/>
      <c r="G109" s="2"/>
      <c r="H109" s="2"/>
      <c r="I109" s="4"/>
      <c r="J109" s="2"/>
      <c r="K109" s="2"/>
      <c r="L109" s="12"/>
      <c r="M109" s="6"/>
    </row>
    <row r="110" spans="1:13" s="8" customFormat="1" ht="45" customHeight="1" thickBot="1" x14ac:dyDescent="0.3">
      <c r="A110" s="3"/>
      <c r="B110" s="7"/>
      <c r="C110" s="4"/>
      <c r="D110" s="16"/>
      <c r="E110" s="7"/>
      <c r="F110" s="2"/>
      <c r="G110" s="2"/>
      <c r="H110" s="2"/>
      <c r="I110" s="4"/>
      <c r="J110" s="2"/>
      <c r="K110" s="2"/>
      <c r="L110" s="12"/>
      <c r="M110" s="6"/>
    </row>
    <row r="111" spans="1:13" s="8" customFormat="1" ht="45" customHeight="1" thickBot="1" x14ac:dyDescent="0.3">
      <c r="A111" s="3"/>
      <c r="B111" s="7"/>
      <c r="C111" s="4"/>
      <c r="D111" s="15"/>
      <c r="E111" s="7"/>
      <c r="F111" s="2"/>
      <c r="G111" s="2"/>
      <c r="H111" s="2"/>
      <c r="I111" s="4"/>
      <c r="J111" s="2"/>
      <c r="K111" s="2"/>
      <c r="L111" s="12"/>
      <c r="M111" s="6"/>
    </row>
    <row r="112" spans="1:13" s="8" customFormat="1" ht="45" customHeight="1" thickBot="1" x14ac:dyDescent="0.3">
      <c r="A112" s="3"/>
      <c r="B112" s="7"/>
      <c r="C112" s="4"/>
      <c r="D112" s="15"/>
      <c r="E112" s="7"/>
      <c r="F112" s="2"/>
      <c r="G112" s="2"/>
      <c r="H112" s="2"/>
      <c r="I112" s="4"/>
      <c r="J112" s="2"/>
      <c r="K112" s="2"/>
      <c r="L112" s="12"/>
      <c r="M112" s="6"/>
    </row>
    <row r="113" spans="1:13" s="8" customFormat="1" ht="45" customHeight="1" thickBot="1" x14ac:dyDescent="0.3">
      <c r="A113" s="3"/>
      <c r="B113" s="7"/>
      <c r="C113" s="4"/>
      <c r="D113" s="15"/>
      <c r="E113" s="7"/>
      <c r="F113" s="2"/>
      <c r="G113" s="2"/>
      <c r="H113" s="2"/>
      <c r="I113" s="4"/>
      <c r="J113" s="2"/>
      <c r="K113" s="2"/>
      <c r="L113" s="12"/>
      <c r="M113" s="6"/>
    </row>
    <row r="114" spans="1:13" s="8" customFormat="1" ht="45" customHeight="1" thickBot="1" x14ac:dyDescent="0.3">
      <c r="A114" s="3"/>
      <c r="B114" s="7"/>
      <c r="C114" s="4"/>
      <c r="D114" s="15"/>
      <c r="E114" s="7"/>
      <c r="F114" s="2"/>
      <c r="G114" s="2"/>
      <c r="H114" s="2"/>
      <c r="I114" s="4"/>
      <c r="J114" s="2"/>
      <c r="K114" s="2"/>
      <c r="L114" s="12"/>
      <c r="M114" s="6"/>
    </row>
    <row r="115" spans="1:13" s="8" customFormat="1" ht="45" customHeight="1" thickBot="1" x14ac:dyDescent="0.3">
      <c r="A115" s="3"/>
      <c r="B115" s="7"/>
      <c r="C115" s="4"/>
      <c r="D115" s="15"/>
      <c r="E115" s="7"/>
      <c r="F115" s="2"/>
      <c r="G115" s="2"/>
      <c r="H115" s="2"/>
      <c r="I115" s="4"/>
      <c r="J115" s="2"/>
      <c r="K115" s="2"/>
      <c r="L115" s="12"/>
      <c r="M115" s="6"/>
    </row>
    <row r="116" spans="1:13" s="8" customFormat="1" ht="45" customHeight="1" thickBot="1" x14ac:dyDescent="0.3">
      <c r="A116" s="3"/>
      <c r="B116" s="7"/>
      <c r="C116" s="4"/>
      <c r="D116" s="15"/>
      <c r="E116" s="7"/>
      <c r="F116" s="2"/>
      <c r="G116" s="2"/>
      <c r="H116" s="2"/>
      <c r="I116" s="4"/>
      <c r="J116" s="2"/>
      <c r="K116" s="2"/>
      <c r="L116" s="12"/>
      <c r="M116" s="6"/>
    </row>
    <row r="117" spans="1:13" s="8" customFormat="1" ht="45" customHeight="1" thickBot="1" x14ac:dyDescent="0.3">
      <c r="A117" s="3"/>
      <c r="B117" s="7"/>
      <c r="C117" s="4"/>
      <c r="D117" s="15"/>
      <c r="E117" s="7"/>
      <c r="F117" s="2"/>
      <c r="G117" s="2"/>
      <c r="H117" s="2"/>
      <c r="I117" s="4"/>
      <c r="J117" s="2"/>
      <c r="K117" s="2"/>
      <c r="L117" s="12"/>
      <c r="M117" s="6"/>
    </row>
    <row r="118" spans="1:13" s="8" customFormat="1" ht="45" customHeight="1" thickBot="1" x14ac:dyDescent="0.3">
      <c r="A118" s="3"/>
      <c r="B118" s="7"/>
      <c r="C118" s="4"/>
      <c r="D118" s="15"/>
      <c r="E118" s="7"/>
      <c r="F118" s="2"/>
      <c r="G118" s="2"/>
      <c r="H118" s="2"/>
      <c r="I118" s="4"/>
      <c r="J118" s="2"/>
      <c r="K118" s="2"/>
      <c r="L118" s="12"/>
      <c r="M118" s="6"/>
    </row>
    <row r="119" spans="1:13" s="8" customFormat="1" ht="45" customHeight="1" thickBot="1" x14ac:dyDescent="0.3">
      <c r="A119" s="3"/>
      <c r="B119" s="7"/>
      <c r="C119" s="4"/>
      <c r="D119" s="15"/>
      <c r="E119" s="7"/>
      <c r="F119" s="2"/>
      <c r="G119" s="2"/>
      <c r="H119" s="2"/>
      <c r="I119" s="4"/>
      <c r="J119" s="2"/>
      <c r="K119" s="2"/>
      <c r="L119" s="12"/>
      <c r="M119" s="6"/>
    </row>
    <row r="120" spans="1:13" s="8" customFormat="1" ht="45" customHeight="1" thickBot="1" x14ac:dyDescent="0.3">
      <c r="A120" s="3"/>
      <c r="B120" s="7"/>
      <c r="C120" s="4"/>
      <c r="D120" s="15"/>
      <c r="E120" s="7"/>
      <c r="F120" s="2"/>
      <c r="G120" s="2"/>
      <c r="H120" s="2"/>
      <c r="I120" s="4"/>
      <c r="J120" s="2"/>
      <c r="K120" s="2"/>
      <c r="L120" s="12"/>
      <c r="M120" s="6"/>
    </row>
    <row r="121" spans="1:13" s="8" customFormat="1" ht="45" customHeight="1" thickBot="1" x14ac:dyDescent="0.3">
      <c r="A121" s="3"/>
      <c r="B121" s="7"/>
      <c r="C121" s="4"/>
      <c r="D121" s="15"/>
      <c r="E121" s="7"/>
      <c r="F121" s="2"/>
      <c r="G121" s="2"/>
      <c r="H121" s="2"/>
      <c r="I121" s="4"/>
      <c r="J121" s="2"/>
      <c r="K121" s="2"/>
      <c r="L121" s="12"/>
      <c r="M121" s="6"/>
    </row>
    <row r="122" spans="1:13" s="8" customFormat="1" ht="45" customHeight="1" thickBot="1" x14ac:dyDescent="0.3">
      <c r="A122" s="3"/>
      <c r="B122" s="7"/>
      <c r="C122" s="4"/>
      <c r="D122" s="15"/>
      <c r="E122" s="7"/>
      <c r="F122" s="2"/>
      <c r="G122" s="2"/>
      <c r="H122" s="2"/>
      <c r="I122" s="4"/>
      <c r="J122" s="2"/>
      <c r="K122" s="2"/>
      <c r="L122" s="12"/>
      <c r="M122" s="6"/>
    </row>
    <row r="123" spans="1:13" s="8" customFormat="1" ht="45" customHeight="1" thickBot="1" x14ac:dyDescent="0.3">
      <c r="A123" s="3"/>
      <c r="B123" s="7"/>
      <c r="C123" s="4"/>
      <c r="D123" s="15"/>
      <c r="E123" s="7"/>
      <c r="F123" s="2"/>
      <c r="G123" s="2"/>
      <c r="H123" s="2"/>
      <c r="I123" s="4"/>
      <c r="J123" s="2"/>
      <c r="K123" s="2"/>
      <c r="L123" s="12"/>
      <c r="M123" s="6"/>
    </row>
    <row r="124" spans="1:13" s="8" customFormat="1" ht="45" customHeight="1" thickBot="1" x14ac:dyDescent="0.3">
      <c r="A124" s="3"/>
      <c r="B124" s="7"/>
      <c r="C124" s="4"/>
      <c r="D124" s="10"/>
      <c r="E124" s="7"/>
      <c r="F124" s="2"/>
      <c r="G124" s="2"/>
      <c r="H124" s="2"/>
      <c r="I124" s="4"/>
      <c r="J124" s="2"/>
      <c r="K124" s="2"/>
      <c r="L124" s="12"/>
      <c r="M124" s="6"/>
    </row>
    <row r="125" spans="1:13" s="8" customFormat="1" ht="45" customHeight="1" thickBot="1" x14ac:dyDescent="0.3">
      <c r="A125" s="3"/>
      <c r="B125" s="7"/>
      <c r="C125" s="4"/>
      <c r="D125" s="10"/>
      <c r="E125" s="7"/>
      <c r="F125" s="2"/>
      <c r="G125" s="2"/>
      <c r="H125" s="2"/>
      <c r="I125" s="4"/>
      <c r="J125" s="2"/>
      <c r="K125" s="2"/>
      <c r="L125" s="12"/>
      <c r="M125" s="6"/>
    </row>
    <row r="126" spans="1:13" s="8" customFormat="1" ht="45" customHeight="1" thickBot="1" x14ac:dyDescent="0.3">
      <c r="A126" s="3"/>
      <c r="B126" s="7"/>
      <c r="C126" s="4"/>
      <c r="D126" s="10"/>
      <c r="E126" s="7"/>
      <c r="F126" s="2"/>
      <c r="G126" s="2"/>
      <c r="H126" s="2"/>
      <c r="I126" s="4"/>
      <c r="J126" s="2"/>
      <c r="K126" s="2"/>
      <c r="L126" s="12"/>
      <c r="M126" s="6"/>
    </row>
    <row r="127" spans="1:13" s="8" customFormat="1" ht="45" customHeight="1" thickBot="1" x14ac:dyDescent="0.3">
      <c r="A127" s="3"/>
      <c r="B127" s="7"/>
      <c r="C127" s="2"/>
      <c r="D127" s="15"/>
      <c r="E127" s="2"/>
      <c r="F127" s="2"/>
      <c r="G127" s="2"/>
      <c r="H127" s="2"/>
      <c r="I127" s="4"/>
      <c r="J127" s="2"/>
      <c r="K127" s="2"/>
      <c r="L127" s="12"/>
      <c r="M127" s="6"/>
    </row>
    <row r="128" spans="1:13" s="8" customFormat="1" ht="45" customHeight="1" thickBot="1" x14ac:dyDescent="0.3">
      <c r="A128" s="3"/>
      <c r="B128" s="7"/>
      <c r="C128" s="2"/>
      <c r="D128" s="15"/>
      <c r="E128" s="2"/>
      <c r="F128" s="2"/>
      <c r="G128" s="2"/>
      <c r="H128" s="2"/>
      <c r="I128" s="4"/>
      <c r="J128" s="2"/>
      <c r="K128" s="2"/>
      <c r="L128" s="12"/>
      <c r="M128" s="6"/>
    </row>
    <row r="129" spans="1:13" s="8" customFormat="1" ht="45" customHeight="1" thickBot="1" x14ac:dyDescent="0.3">
      <c r="A129" s="3"/>
      <c r="B129" s="7"/>
      <c r="C129" s="2"/>
      <c r="D129" s="15"/>
      <c r="E129" s="2"/>
      <c r="F129" s="2"/>
      <c r="G129" s="2"/>
      <c r="H129" s="2"/>
      <c r="I129" s="4"/>
      <c r="J129" s="2"/>
      <c r="K129" s="2"/>
      <c r="L129" s="12"/>
      <c r="M129" s="6"/>
    </row>
    <row r="130" spans="1:13" s="8" customFormat="1" ht="45" customHeight="1" thickBot="1" x14ac:dyDescent="0.3">
      <c r="A130" s="3"/>
      <c r="B130" s="7"/>
      <c r="C130" s="4"/>
      <c r="D130" s="15"/>
      <c r="E130" s="2"/>
      <c r="F130" s="2"/>
      <c r="G130" s="2"/>
      <c r="H130" s="2"/>
      <c r="I130" s="4"/>
      <c r="J130" s="2"/>
      <c r="K130" s="2"/>
      <c r="L130" s="12"/>
      <c r="M130" s="6"/>
    </row>
    <row r="131" spans="1:13" s="8" customFormat="1" ht="45" customHeight="1" thickBot="1" x14ac:dyDescent="0.3">
      <c r="A131" s="3"/>
      <c r="B131" s="7"/>
      <c r="C131" s="2"/>
      <c r="D131" s="15"/>
      <c r="E131" s="7"/>
      <c r="F131" s="2"/>
      <c r="G131" s="2"/>
      <c r="H131" s="2"/>
      <c r="I131" s="4"/>
      <c r="J131" s="2"/>
      <c r="K131" s="2"/>
      <c r="L131" s="12"/>
      <c r="M131" s="6"/>
    </row>
    <row r="132" spans="1:13" s="8" customFormat="1" ht="45" customHeight="1" thickBot="1" x14ac:dyDescent="0.3">
      <c r="A132" s="3"/>
      <c r="B132" s="7"/>
      <c r="C132" s="2"/>
      <c r="D132" s="15"/>
      <c r="E132" s="7"/>
      <c r="F132" s="2"/>
      <c r="G132" s="2"/>
      <c r="H132" s="2"/>
      <c r="I132" s="4"/>
      <c r="J132" s="2"/>
      <c r="K132" s="2"/>
      <c r="L132" s="12"/>
      <c r="M132" s="6"/>
    </row>
    <row r="133" spans="1:13" s="8" customFormat="1" ht="45" customHeight="1" thickBot="1" x14ac:dyDescent="0.3">
      <c r="A133" s="3"/>
      <c r="B133" s="7"/>
      <c r="C133" s="2"/>
      <c r="D133" s="15"/>
      <c r="E133" s="7"/>
      <c r="F133" s="2"/>
      <c r="G133" s="2"/>
      <c r="H133" s="2"/>
      <c r="I133" s="4"/>
      <c r="J133" s="2"/>
      <c r="K133" s="2"/>
      <c r="L133" s="12"/>
      <c r="M133" s="6"/>
    </row>
    <row r="134" spans="1:13" s="8" customFormat="1" ht="45" customHeight="1" thickBot="1" x14ac:dyDescent="0.3">
      <c r="A134" s="3"/>
      <c r="B134" s="7"/>
      <c r="C134" s="2"/>
      <c r="D134" s="15"/>
      <c r="E134" s="7"/>
      <c r="F134" s="2"/>
      <c r="G134" s="2"/>
      <c r="H134" s="2"/>
      <c r="I134" s="4"/>
      <c r="J134" s="2"/>
      <c r="K134" s="2"/>
      <c r="L134" s="12"/>
      <c r="M134" s="6"/>
    </row>
    <row r="135" spans="1:13" s="8" customFormat="1" ht="45" customHeight="1" thickBot="1" x14ac:dyDescent="0.3">
      <c r="A135" s="3"/>
      <c r="B135" s="7"/>
      <c r="C135" s="2"/>
      <c r="D135" s="15"/>
      <c r="E135" s="7"/>
      <c r="F135" s="2"/>
      <c r="G135" s="2"/>
      <c r="H135" s="2"/>
      <c r="I135" s="4"/>
      <c r="J135" s="2"/>
      <c r="K135" s="2"/>
      <c r="L135" s="12"/>
      <c r="M135" s="6"/>
    </row>
    <row r="136" spans="1:13" s="8" customFormat="1" ht="45" customHeight="1" thickBot="1" x14ac:dyDescent="0.3">
      <c r="A136" s="3"/>
      <c r="B136" s="7"/>
      <c r="C136" s="2"/>
      <c r="D136" s="15"/>
      <c r="E136" s="2"/>
      <c r="F136" s="2"/>
      <c r="G136" s="2"/>
      <c r="H136" s="2"/>
      <c r="I136" s="4"/>
      <c r="J136" s="2"/>
      <c r="K136" s="2"/>
      <c r="L136" s="12"/>
      <c r="M136" s="6"/>
    </row>
    <row r="137" spans="1:13" s="8" customFormat="1" ht="45" customHeight="1" thickBot="1" x14ac:dyDescent="0.3">
      <c r="A137" s="3"/>
      <c r="B137" s="7"/>
      <c r="C137" s="2"/>
      <c r="D137" s="15"/>
      <c r="E137" s="2"/>
      <c r="F137" s="2"/>
      <c r="G137" s="2"/>
      <c r="H137" s="2"/>
      <c r="I137" s="4"/>
      <c r="J137" s="2"/>
      <c r="K137" s="2"/>
      <c r="L137" s="12"/>
      <c r="M137" s="6"/>
    </row>
    <row r="138" spans="1:13" s="8" customFormat="1" ht="45" customHeight="1" thickBot="1" x14ac:dyDescent="0.3">
      <c r="A138" s="3"/>
      <c r="B138" s="7"/>
      <c r="C138" s="2"/>
      <c r="D138" s="15"/>
      <c r="E138" s="2"/>
      <c r="F138" s="2"/>
      <c r="G138" s="2"/>
      <c r="H138" s="2"/>
      <c r="I138" s="4"/>
      <c r="J138" s="2"/>
      <c r="K138" s="2"/>
      <c r="L138" s="12"/>
      <c r="M138" s="6"/>
    </row>
    <row r="139" spans="1:13" s="8" customFormat="1" ht="45" customHeight="1" thickBot="1" x14ac:dyDescent="0.3">
      <c r="A139" s="3"/>
      <c r="B139" s="7"/>
      <c r="C139" s="2"/>
      <c r="D139" s="15"/>
      <c r="E139" s="2"/>
      <c r="F139" s="2"/>
      <c r="G139" s="2"/>
      <c r="H139" s="2"/>
      <c r="I139" s="4"/>
      <c r="J139" s="2"/>
      <c r="K139" s="2"/>
      <c r="L139" s="12"/>
      <c r="M139" s="6"/>
    </row>
    <row r="140" spans="1:13" s="8" customFormat="1" ht="45" customHeight="1" thickBot="1" x14ac:dyDescent="0.3">
      <c r="A140" s="3"/>
      <c r="B140" s="7"/>
      <c r="C140" s="2"/>
      <c r="D140" s="15"/>
      <c r="E140" s="2"/>
      <c r="F140" s="2"/>
      <c r="G140" s="2"/>
      <c r="H140" s="2"/>
      <c r="I140" s="4"/>
      <c r="J140" s="2"/>
      <c r="K140" s="2"/>
      <c r="L140" s="12"/>
      <c r="M140" s="6"/>
    </row>
    <row r="141" spans="1:13" s="8" customFormat="1" ht="45" customHeight="1" thickBot="1" x14ac:dyDescent="0.3">
      <c r="A141" s="3"/>
      <c r="B141" s="7"/>
      <c r="C141" s="2"/>
      <c r="D141" s="15"/>
      <c r="E141" s="2"/>
      <c r="F141" s="2"/>
      <c r="G141" s="2"/>
      <c r="H141" s="2"/>
      <c r="I141" s="4"/>
      <c r="J141" s="2"/>
      <c r="K141" s="2"/>
      <c r="L141" s="12"/>
      <c r="M141" s="6"/>
    </row>
    <row r="142" spans="1:13" s="8" customFormat="1" ht="45" customHeight="1" thickBot="1" x14ac:dyDescent="0.3">
      <c r="A142" s="3"/>
      <c r="B142" s="7"/>
      <c r="C142" s="2"/>
      <c r="D142" s="15"/>
      <c r="E142" s="2"/>
      <c r="F142" s="2"/>
      <c r="G142" s="2"/>
      <c r="H142" s="2"/>
      <c r="I142" s="4"/>
      <c r="J142" s="2"/>
      <c r="K142" s="2"/>
      <c r="L142" s="12"/>
      <c r="M142" s="6"/>
    </row>
    <row r="143" spans="1:13" s="8" customFormat="1" ht="45" customHeight="1" thickBot="1" x14ac:dyDescent="0.3">
      <c r="A143" s="3"/>
      <c r="B143" s="7"/>
      <c r="C143" s="2"/>
      <c r="D143" s="15"/>
      <c r="E143" s="2"/>
      <c r="F143" s="2"/>
      <c r="G143" s="2"/>
      <c r="H143" s="2"/>
      <c r="I143" s="4"/>
      <c r="J143" s="2"/>
      <c r="K143" s="2"/>
      <c r="L143" s="12"/>
      <c r="M143" s="6"/>
    </row>
    <row r="144" spans="1:13" s="8" customFormat="1" ht="45" customHeight="1" thickBot="1" x14ac:dyDescent="0.3">
      <c r="A144" s="3"/>
      <c r="B144" s="7"/>
      <c r="C144" s="2"/>
      <c r="D144" s="15"/>
      <c r="E144" s="2"/>
      <c r="F144" s="2"/>
      <c r="G144" s="2"/>
      <c r="H144" s="2"/>
      <c r="I144" s="4"/>
      <c r="J144" s="2"/>
      <c r="K144" s="2"/>
      <c r="L144" s="12"/>
      <c r="M144" s="6"/>
    </row>
    <row r="145" spans="1:13" s="8" customFormat="1" ht="45" customHeight="1" thickBot="1" x14ac:dyDescent="0.3">
      <c r="A145" s="3"/>
      <c r="B145" s="7"/>
      <c r="C145" s="2"/>
      <c r="D145" s="10"/>
      <c r="E145" s="2"/>
      <c r="F145" s="2"/>
      <c r="G145" s="2"/>
      <c r="H145" s="2"/>
      <c r="I145" s="4"/>
      <c r="J145" s="2"/>
      <c r="K145" s="2"/>
      <c r="L145" s="12"/>
      <c r="M145" s="6"/>
    </row>
    <row r="146" spans="1:13" s="8" customFormat="1" ht="45" customHeight="1" thickBot="1" x14ac:dyDescent="0.3">
      <c r="A146" s="3"/>
      <c r="B146" s="7"/>
      <c r="C146" s="2"/>
      <c r="D146" s="10"/>
      <c r="E146" s="2"/>
      <c r="F146" s="2"/>
      <c r="G146" s="2"/>
      <c r="H146" s="2"/>
      <c r="I146" s="4"/>
      <c r="J146" s="2"/>
      <c r="K146" s="2"/>
      <c r="L146" s="12"/>
      <c r="M146" s="6"/>
    </row>
    <row r="147" spans="1:13" s="8" customFormat="1" ht="45" customHeight="1" thickBot="1" x14ac:dyDescent="0.3">
      <c r="A147" s="3"/>
      <c r="B147" s="7"/>
      <c r="C147" s="2"/>
      <c r="D147" s="10"/>
      <c r="E147" s="2"/>
      <c r="F147" s="2"/>
      <c r="G147" s="2"/>
      <c r="H147" s="2"/>
      <c r="I147" s="4"/>
      <c r="J147" s="2"/>
      <c r="K147" s="2"/>
      <c r="L147" s="12"/>
      <c r="M147" s="6"/>
    </row>
    <row r="148" spans="1:13" s="8" customFormat="1" ht="45" customHeight="1" thickBot="1" x14ac:dyDescent="0.3">
      <c r="A148" s="3"/>
      <c r="B148" s="7"/>
      <c r="C148" s="2"/>
      <c r="D148" s="15"/>
      <c r="E148" s="2"/>
      <c r="F148" s="2"/>
      <c r="G148" s="2"/>
      <c r="H148" s="2"/>
      <c r="I148" s="4"/>
      <c r="J148" s="2"/>
      <c r="K148" s="2"/>
      <c r="L148" s="12"/>
      <c r="M148" s="6"/>
    </row>
    <row r="149" spans="1:13" s="8" customFormat="1" ht="45" customHeight="1" thickBot="1" x14ac:dyDescent="0.3">
      <c r="A149" s="3"/>
      <c r="B149" s="7"/>
      <c r="C149" s="2"/>
      <c r="D149" s="10"/>
      <c r="E149" s="2"/>
      <c r="F149" s="2"/>
      <c r="G149" s="2"/>
      <c r="H149" s="2"/>
      <c r="I149" s="4"/>
      <c r="J149" s="2"/>
      <c r="K149" s="2"/>
      <c r="L149" s="12"/>
      <c r="M149" s="6"/>
    </row>
    <row r="150" spans="1:13" s="8" customFormat="1" ht="45" customHeight="1" thickBot="1" x14ac:dyDescent="0.3">
      <c r="A150" s="3"/>
      <c r="B150" s="7"/>
      <c r="C150" s="2"/>
      <c r="D150" s="15"/>
      <c r="E150" s="2"/>
      <c r="F150" s="2"/>
      <c r="G150" s="2"/>
      <c r="H150" s="2"/>
      <c r="I150" s="4"/>
      <c r="J150" s="2"/>
      <c r="K150" s="2"/>
      <c r="L150" s="12"/>
      <c r="M150" s="6"/>
    </row>
    <row r="151" spans="1:13" s="8" customFormat="1" ht="45" customHeight="1" thickBot="1" x14ac:dyDescent="0.3">
      <c r="A151" s="3"/>
      <c r="B151" s="7"/>
      <c r="C151" s="2"/>
      <c r="D151" s="10"/>
      <c r="E151" s="2"/>
      <c r="F151" s="2"/>
      <c r="G151" s="2"/>
      <c r="H151" s="2"/>
      <c r="I151" s="4"/>
      <c r="J151" s="2"/>
      <c r="K151" s="2"/>
      <c r="L151" s="12"/>
      <c r="M151" s="6"/>
    </row>
    <row r="152" spans="1:13" s="8" customFormat="1" ht="45" customHeight="1" thickBot="1" x14ac:dyDescent="0.3">
      <c r="A152" s="3"/>
      <c r="B152" s="7"/>
      <c r="C152" s="2"/>
      <c r="D152" s="15"/>
      <c r="E152" s="2"/>
      <c r="F152" s="2"/>
      <c r="G152" s="2"/>
      <c r="H152" s="2"/>
      <c r="I152" s="4"/>
      <c r="J152" s="2"/>
      <c r="K152" s="2"/>
      <c r="L152" s="12"/>
      <c r="M152" s="6"/>
    </row>
    <row r="153" spans="1:13" s="8" customFormat="1" ht="45" customHeight="1" thickBot="1" x14ac:dyDescent="0.3">
      <c r="A153" s="3"/>
      <c r="B153" s="7"/>
      <c r="C153" s="2"/>
      <c r="D153" s="15"/>
      <c r="E153" s="2"/>
      <c r="F153" s="2"/>
      <c r="G153" s="2"/>
      <c r="H153" s="2"/>
      <c r="I153" s="4"/>
      <c r="J153" s="2"/>
      <c r="K153" s="2"/>
      <c r="L153" s="12"/>
      <c r="M153" s="6"/>
    </row>
    <row r="154" spans="1:13" s="8" customFormat="1" ht="45" customHeight="1" thickBot="1" x14ac:dyDescent="0.3">
      <c r="A154" s="3"/>
      <c r="B154" s="7"/>
      <c r="C154" s="2"/>
      <c r="D154" s="15"/>
      <c r="E154" s="2"/>
      <c r="F154" s="2"/>
      <c r="G154" s="2"/>
      <c r="H154" s="2"/>
      <c r="I154" s="4"/>
      <c r="J154" s="2"/>
      <c r="K154" s="2"/>
      <c r="L154" s="12"/>
      <c r="M154" s="6"/>
    </row>
    <row r="155" spans="1:13" s="8" customFormat="1" ht="45" customHeight="1" thickBot="1" x14ac:dyDescent="0.3">
      <c r="A155" s="3"/>
      <c r="B155" s="7"/>
      <c r="C155" s="2"/>
      <c r="D155" s="15"/>
      <c r="E155" s="2"/>
      <c r="F155" s="2"/>
      <c r="G155" s="2"/>
      <c r="H155" s="2"/>
      <c r="I155" s="4"/>
      <c r="J155" s="2"/>
      <c r="K155" s="2"/>
      <c r="L155" s="12"/>
      <c r="M155" s="6"/>
    </row>
    <row r="156" spans="1:13" s="8" customFormat="1" ht="45" customHeight="1" thickBot="1" x14ac:dyDescent="0.3">
      <c r="A156" s="3"/>
      <c r="B156" s="7"/>
      <c r="C156" s="2"/>
      <c r="D156" s="15"/>
      <c r="E156" s="2"/>
      <c r="F156" s="2"/>
      <c r="G156" s="2"/>
      <c r="H156" s="2"/>
      <c r="I156" s="4"/>
      <c r="J156" s="2"/>
      <c r="K156" s="2"/>
      <c r="L156" s="12"/>
      <c r="M156" s="6"/>
    </row>
    <row r="157" spans="1:13" s="8" customFormat="1" ht="45" customHeight="1" thickBot="1" x14ac:dyDescent="0.3">
      <c r="A157" s="3"/>
      <c r="B157" s="7"/>
      <c r="C157" s="2"/>
      <c r="D157" s="15"/>
      <c r="E157" s="2"/>
      <c r="F157" s="2"/>
      <c r="G157" s="2"/>
      <c r="H157" s="2"/>
      <c r="I157" s="4"/>
      <c r="J157" s="2"/>
      <c r="K157" s="2"/>
      <c r="L157" s="12"/>
      <c r="M157" s="6"/>
    </row>
    <row r="158" spans="1:13" s="8" customFormat="1" ht="45" customHeight="1" thickBot="1" x14ac:dyDescent="0.3">
      <c r="A158" s="3"/>
      <c r="B158" s="7"/>
      <c r="C158" s="2"/>
      <c r="D158" s="15"/>
      <c r="E158" s="2"/>
      <c r="F158" s="2"/>
      <c r="G158" s="2"/>
      <c r="H158" s="2"/>
      <c r="I158" s="4"/>
      <c r="J158" s="2"/>
      <c r="K158" s="2"/>
      <c r="L158" s="12"/>
      <c r="M158" s="6"/>
    </row>
    <row r="159" spans="1:13" s="8" customFormat="1" ht="45" customHeight="1" thickBot="1" x14ac:dyDescent="0.3">
      <c r="A159" s="3"/>
      <c r="B159" s="7"/>
      <c r="C159" s="2"/>
      <c r="D159" s="15"/>
      <c r="E159" s="2"/>
      <c r="F159" s="2"/>
      <c r="G159" s="2"/>
      <c r="H159" s="2"/>
      <c r="I159" s="4"/>
      <c r="J159" s="2"/>
      <c r="K159" s="2"/>
      <c r="L159" s="12"/>
      <c r="M159" s="6"/>
    </row>
    <row r="160" spans="1:13" s="8" customFormat="1" ht="45" customHeight="1" thickBot="1" x14ac:dyDescent="0.3">
      <c r="A160" s="3"/>
      <c r="B160" s="7"/>
      <c r="C160" s="2"/>
      <c r="D160" s="10"/>
      <c r="E160" s="2"/>
      <c r="F160" s="2"/>
      <c r="G160" s="2"/>
      <c r="H160" s="2"/>
      <c r="I160" s="4"/>
      <c r="J160" s="2"/>
      <c r="K160" s="2"/>
      <c r="L160" s="12"/>
      <c r="M160" s="6"/>
    </row>
    <row r="161" spans="1:13" s="8" customFormat="1" ht="45" customHeight="1" thickBot="1" x14ac:dyDescent="0.3">
      <c r="A161" s="3"/>
      <c r="B161" s="7"/>
      <c r="C161" s="2"/>
      <c r="D161" s="15"/>
      <c r="E161" s="2"/>
      <c r="F161" s="2"/>
      <c r="G161" s="2"/>
      <c r="H161" s="2"/>
      <c r="I161" s="4"/>
      <c r="J161" s="2"/>
      <c r="K161" s="2"/>
      <c r="L161" s="12"/>
      <c r="M161" s="6"/>
    </row>
    <row r="162" spans="1:13" s="8" customFormat="1" ht="45" customHeight="1" thickBot="1" x14ac:dyDescent="0.3">
      <c r="A162" s="3"/>
      <c r="B162" s="7"/>
      <c r="C162" s="2"/>
      <c r="D162" s="15"/>
      <c r="E162" s="2"/>
      <c r="F162" s="2"/>
      <c r="G162" s="2"/>
      <c r="H162" s="2"/>
      <c r="I162" s="4"/>
      <c r="J162" s="2"/>
      <c r="K162" s="2"/>
      <c r="L162" s="12"/>
      <c r="M162" s="6"/>
    </row>
    <row r="163" spans="1:13" s="8" customFormat="1" ht="45" customHeight="1" thickBot="1" x14ac:dyDescent="0.3">
      <c r="A163" s="3"/>
      <c r="B163" s="7"/>
      <c r="C163" s="2"/>
      <c r="D163" s="15"/>
      <c r="E163" s="2"/>
      <c r="F163" s="2"/>
      <c r="G163" s="2"/>
      <c r="H163" s="2"/>
      <c r="I163" s="4"/>
      <c r="J163" s="2"/>
      <c r="K163" s="2"/>
      <c r="L163" s="12"/>
      <c r="M163" s="6"/>
    </row>
    <row r="164" spans="1:13" s="8" customFormat="1" ht="45" customHeight="1" thickBot="1" x14ac:dyDescent="0.3">
      <c r="A164" s="3"/>
      <c r="B164" s="7"/>
      <c r="C164" s="2"/>
      <c r="D164" s="15"/>
      <c r="E164" s="2"/>
      <c r="F164" s="2"/>
      <c r="G164" s="2"/>
      <c r="H164" s="2"/>
      <c r="I164" s="4"/>
      <c r="J164" s="2"/>
      <c r="K164" s="2"/>
      <c r="L164" s="12"/>
      <c r="M164" s="6"/>
    </row>
    <row r="165" spans="1:13" s="8" customFormat="1" ht="45" customHeight="1" thickBot="1" x14ac:dyDescent="0.3">
      <c r="A165" s="3"/>
      <c r="B165" s="7"/>
      <c r="C165" s="2"/>
      <c r="D165" s="15"/>
      <c r="E165" s="2"/>
      <c r="F165" s="2"/>
      <c r="G165" s="2"/>
      <c r="H165" s="2"/>
      <c r="I165" s="4"/>
      <c r="J165" s="2"/>
      <c r="K165" s="2"/>
      <c r="L165" s="12"/>
      <c r="M165" s="6"/>
    </row>
    <row r="166" spans="1:13" s="8" customFormat="1" ht="45" customHeight="1" thickBot="1" x14ac:dyDescent="0.3">
      <c r="A166" s="3"/>
      <c r="B166" s="7"/>
      <c r="C166" s="2"/>
      <c r="D166" s="15"/>
      <c r="E166" s="2"/>
      <c r="F166" s="2"/>
      <c r="G166" s="2"/>
      <c r="H166" s="2"/>
      <c r="I166" s="4"/>
      <c r="J166" s="2"/>
      <c r="K166" s="2"/>
      <c r="L166" s="12"/>
      <c r="M166" s="6"/>
    </row>
    <row r="167" spans="1:13" s="8" customFormat="1" ht="45" customHeight="1" thickBot="1" x14ac:dyDescent="0.3">
      <c r="A167" s="3"/>
      <c r="B167" s="7"/>
      <c r="C167" s="2"/>
      <c r="D167" s="15"/>
      <c r="E167" s="2"/>
      <c r="F167" s="2"/>
      <c r="G167" s="2"/>
      <c r="H167" s="2"/>
      <c r="I167" s="4"/>
      <c r="J167" s="2"/>
      <c r="K167" s="2"/>
      <c r="L167" s="12"/>
      <c r="M167" s="6"/>
    </row>
    <row r="168" spans="1:13" s="8" customFormat="1" ht="45" customHeight="1" thickBot="1" x14ac:dyDescent="0.3">
      <c r="A168" s="3"/>
      <c r="B168" s="7"/>
      <c r="C168" s="2"/>
      <c r="D168" s="15"/>
      <c r="E168" s="2"/>
      <c r="F168" s="2"/>
      <c r="G168" s="2"/>
      <c r="H168" s="2"/>
      <c r="I168" s="4"/>
      <c r="J168" s="2"/>
      <c r="K168" s="2"/>
      <c r="L168" s="12"/>
      <c r="M168" s="6"/>
    </row>
    <row r="169" spans="1:13" s="8" customFormat="1" ht="45" customHeight="1" thickBot="1" x14ac:dyDescent="0.3">
      <c r="A169" s="3"/>
      <c r="B169" s="7"/>
      <c r="C169" s="2"/>
      <c r="D169" s="15"/>
      <c r="E169" s="2"/>
      <c r="F169" s="2"/>
      <c r="G169" s="2"/>
      <c r="H169" s="2"/>
      <c r="I169" s="4"/>
      <c r="J169" s="2"/>
      <c r="K169" s="2"/>
      <c r="L169" s="12"/>
      <c r="M169" s="6"/>
    </row>
    <row r="170" spans="1:13" s="8" customFormat="1" ht="45" customHeight="1" thickBot="1" x14ac:dyDescent="0.3">
      <c r="A170" s="3"/>
      <c r="B170" s="7"/>
      <c r="C170" s="10"/>
      <c r="D170" s="15"/>
      <c r="E170" s="2"/>
      <c r="F170" s="2"/>
      <c r="G170" s="2"/>
      <c r="H170" s="2"/>
      <c r="I170" s="4"/>
      <c r="J170" s="2"/>
      <c r="K170" s="2"/>
      <c r="L170" s="12"/>
      <c r="M170" s="6"/>
    </row>
    <row r="171" spans="1:13" s="8" customFormat="1" ht="45" customHeight="1" thickBot="1" x14ac:dyDescent="0.3">
      <c r="A171" s="3"/>
      <c r="B171" s="7"/>
      <c r="C171" s="10"/>
      <c r="D171" s="15"/>
      <c r="E171" s="2"/>
      <c r="F171" s="2"/>
      <c r="G171" s="2"/>
      <c r="H171" s="2"/>
      <c r="I171" s="4"/>
      <c r="J171" s="2"/>
      <c r="K171" s="2"/>
      <c r="L171" s="12"/>
      <c r="M171" s="6"/>
    </row>
    <row r="172" spans="1:13" s="8" customFormat="1" ht="45" customHeight="1" thickBot="1" x14ac:dyDescent="0.3">
      <c r="A172" s="3"/>
      <c r="B172" s="7"/>
      <c r="C172" s="2"/>
      <c r="D172" s="15"/>
      <c r="E172" s="2"/>
      <c r="F172" s="2"/>
      <c r="G172" s="2"/>
      <c r="H172" s="2"/>
      <c r="I172" s="4"/>
      <c r="J172" s="2"/>
      <c r="K172" s="2"/>
      <c r="L172" s="12"/>
      <c r="M172" s="6"/>
    </row>
    <row r="173" spans="1:13" s="8" customFormat="1" ht="45" customHeight="1" thickBot="1" x14ac:dyDescent="0.3">
      <c r="A173" s="3"/>
      <c r="B173" s="7"/>
      <c r="C173" s="2"/>
      <c r="D173" s="15"/>
      <c r="E173" s="2"/>
      <c r="F173" s="2"/>
      <c r="G173" s="2"/>
      <c r="H173" s="2"/>
      <c r="I173" s="4"/>
      <c r="J173" s="2"/>
      <c r="K173" s="2"/>
      <c r="L173" s="12"/>
      <c r="M173" s="6"/>
    </row>
    <row r="174" spans="1:13" s="8" customFormat="1" ht="45" customHeight="1" thickBot="1" x14ac:dyDescent="0.3">
      <c r="A174" s="3"/>
      <c r="B174" s="7"/>
      <c r="C174" s="2"/>
      <c r="D174" s="15"/>
      <c r="E174" s="2"/>
      <c r="F174" s="2"/>
      <c r="G174" s="2"/>
      <c r="H174" s="2"/>
      <c r="I174" s="4"/>
      <c r="J174" s="2"/>
      <c r="K174" s="2"/>
      <c r="L174" s="12"/>
      <c r="M174" s="6"/>
    </row>
    <row r="175" spans="1:13" s="8" customFormat="1" ht="45" customHeight="1" thickBot="1" x14ac:dyDescent="0.3">
      <c r="A175" s="3"/>
      <c r="B175" s="7"/>
      <c r="C175" s="2"/>
      <c r="D175" s="16"/>
      <c r="E175" s="2"/>
      <c r="F175" s="2"/>
      <c r="G175" s="2"/>
      <c r="H175" s="2"/>
      <c r="I175" s="4"/>
      <c r="J175" s="2"/>
      <c r="K175" s="2"/>
      <c r="L175" s="12"/>
      <c r="M175" s="6"/>
    </row>
    <row r="176" spans="1:13" s="8" customFormat="1" ht="45" customHeight="1" thickBot="1" x14ac:dyDescent="0.3">
      <c r="A176" s="3"/>
      <c r="B176" s="7"/>
      <c r="C176" s="2"/>
      <c r="D176" s="16"/>
      <c r="E176" s="2"/>
      <c r="F176" s="2"/>
      <c r="G176" s="2"/>
      <c r="H176" s="2"/>
      <c r="I176" s="4"/>
      <c r="J176" s="2"/>
      <c r="K176" s="2"/>
      <c r="L176" s="12"/>
      <c r="M176" s="6"/>
    </row>
    <row r="177" spans="1:13" s="8" customFormat="1" ht="45" customHeight="1" thickBot="1" x14ac:dyDescent="0.3">
      <c r="A177" s="3"/>
      <c r="B177" s="7"/>
      <c r="C177" s="2"/>
      <c r="D177" s="15"/>
      <c r="E177" s="2"/>
      <c r="F177" s="2"/>
      <c r="G177" s="2"/>
      <c r="H177" s="2"/>
      <c r="I177" s="4"/>
      <c r="J177" s="2"/>
      <c r="K177" s="2"/>
      <c r="L177" s="12"/>
      <c r="M177" s="6"/>
    </row>
    <row r="178" spans="1:13" s="8" customFormat="1" ht="45" customHeight="1" thickBot="1" x14ac:dyDescent="0.3">
      <c r="A178" s="3"/>
      <c r="B178" s="7"/>
      <c r="C178" s="2"/>
      <c r="D178" s="15"/>
      <c r="E178" s="2"/>
      <c r="F178" s="2"/>
      <c r="G178" s="2"/>
      <c r="H178" s="2"/>
      <c r="I178" s="4"/>
      <c r="J178" s="2"/>
      <c r="K178" s="2"/>
      <c r="L178" s="12"/>
      <c r="M178" s="6"/>
    </row>
    <row r="179" spans="1:13" s="8" customFormat="1" ht="45" customHeight="1" thickBot="1" x14ac:dyDescent="0.3">
      <c r="A179" s="3"/>
      <c r="B179" s="7"/>
      <c r="C179" s="2"/>
      <c r="D179" s="15"/>
      <c r="E179" s="2"/>
      <c r="F179" s="2"/>
      <c r="G179" s="2"/>
      <c r="H179" s="2"/>
      <c r="I179" s="4"/>
      <c r="J179" s="2"/>
      <c r="K179" s="2"/>
      <c r="L179" s="12"/>
      <c r="M179" s="6"/>
    </row>
    <row r="180" spans="1:13" s="8" customFormat="1" ht="45" customHeight="1" thickBot="1" x14ac:dyDescent="0.3">
      <c r="A180" s="3"/>
      <c r="B180" s="7"/>
      <c r="C180" s="2"/>
      <c r="D180" s="15"/>
      <c r="E180" s="2"/>
      <c r="F180" s="2"/>
      <c r="G180" s="2"/>
      <c r="H180" s="2"/>
      <c r="I180" s="4"/>
      <c r="J180" s="2"/>
      <c r="K180" s="2"/>
      <c r="L180" s="12"/>
      <c r="M180" s="6"/>
    </row>
    <row r="181" spans="1:13" s="8" customFormat="1" ht="45" customHeight="1" thickBot="1" x14ac:dyDescent="0.3">
      <c r="A181" s="3"/>
      <c r="B181" s="7"/>
      <c r="C181" s="2"/>
      <c r="D181" s="15"/>
      <c r="E181" s="2"/>
      <c r="F181" s="2"/>
      <c r="G181" s="2"/>
      <c r="H181" s="2"/>
      <c r="I181" s="4"/>
      <c r="J181" s="2"/>
      <c r="K181" s="2"/>
      <c r="L181" s="12"/>
      <c r="M181" s="6"/>
    </row>
    <row r="182" spans="1:13" s="8" customFormat="1" ht="45" customHeight="1" thickBot="1" x14ac:dyDescent="0.3">
      <c r="A182" s="3"/>
      <c r="B182" s="7"/>
      <c r="C182" s="2"/>
      <c r="D182" s="15"/>
      <c r="E182" s="2"/>
      <c r="F182" s="2"/>
      <c r="G182" s="2"/>
      <c r="H182" s="2"/>
      <c r="I182" s="4"/>
      <c r="J182" s="2"/>
      <c r="K182" s="2"/>
      <c r="L182" s="12"/>
      <c r="M182" s="6"/>
    </row>
    <row r="183" spans="1:13" s="8" customFormat="1" ht="45" customHeight="1" thickBot="1" x14ac:dyDescent="0.3">
      <c r="A183" s="3"/>
      <c r="B183" s="7"/>
      <c r="C183" s="2"/>
      <c r="D183" s="10"/>
      <c r="E183" s="2"/>
      <c r="F183" s="2"/>
      <c r="G183" s="2"/>
      <c r="H183" s="2"/>
      <c r="I183" s="4"/>
      <c r="J183" s="2"/>
      <c r="K183" s="2"/>
      <c r="L183" s="12"/>
      <c r="M183" s="6"/>
    </row>
    <row r="184" spans="1:13" s="8" customFormat="1" ht="45" customHeight="1" thickBot="1" x14ac:dyDescent="0.3">
      <c r="A184" s="3"/>
      <c r="B184" s="7"/>
      <c r="C184" s="2"/>
      <c r="D184" s="15"/>
      <c r="E184" s="2"/>
      <c r="F184" s="2"/>
      <c r="G184" s="2"/>
      <c r="H184" s="2"/>
      <c r="I184" s="4"/>
      <c r="J184" s="2"/>
      <c r="K184" s="2"/>
      <c r="L184" s="12"/>
      <c r="M184" s="6"/>
    </row>
    <row r="185" spans="1:13" s="8" customFormat="1" ht="45" customHeight="1" thickBot="1" x14ac:dyDescent="0.3">
      <c r="A185" s="3"/>
      <c r="B185" s="7"/>
      <c r="C185" s="2"/>
      <c r="D185" s="15"/>
      <c r="E185" s="2"/>
      <c r="F185" s="2"/>
      <c r="G185" s="2"/>
      <c r="H185" s="2"/>
      <c r="I185" s="4"/>
      <c r="J185" s="2"/>
      <c r="K185" s="2"/>
      <c r="L185" s="12"/>
      <c r="M185" s="6"/>
    </row>
    <row r="186" spans="1:13" s="8" customFormat="1" ht="45" customHeight="1" thickBot="1" x14ac:dyDescent="0.3">
      <c r="A186" s="3"/>
      <c r="B186" s="7"/>
      <c r="C186" s="2"/>
      <c r="D186" s="15"/>
      <c r="E186" s="2"/>
      <c r="F186" s="2"/>
      <c r="G186" s="2"/>
      <c r="H186" s="2"/>
      <c r="I186" s="4"/>
      <c r="J186" s="2"/>
      <c r="K186" s="2"/>
      <c r="L186" s="12"/>
      <c r="M186" s="6"/>
    </row>
    <row r="187" spans="1:13" s="8" customFormat="1" ht="45" customHeight="1" thickBot="1" x14ac:dyDescent="0.3">
      <c r="A187" s="3"/>
      <c r="B187" s="7"/>
      <c r="C187" s="2"/>
      <c r="D187" s="15"/>
      <c r="E187" s="2"/>
      <c r="F187" s="2"/>
      <c r="G187" s="2"/>
      <c r="H187" s="2"/>
      <c r="I187" s="4"/>
      <c r="J187" s="2"/>
      <c r="K187" s="2"/>
      <c r="L187" s="12"/>
      <c r="M187" s="6"/>
    </row>
    <row r="188" spans="1:13" s="8" customFormat="1" ht="45" customHeight="1" thickBot="1" x14ac:dyDescent="0.3">
      <c r="A188" s="3"/>
      <c r="B188" s="7"/>
      <c r="C188" s="2"/>
      <c r="D188" s="15"/>
      <c r="E188" s="2"/>
      <c r="F188" s="2"/>
      <c r="G188" s="2"/>
      <c r="H188" s="2"/>
      <c r="I188" s="4"/>
      <c r="J188" s="2"/>
      <c r="K188" s="2"/>
      <c r="L188" s="12"/>
      <c r="M188" s="6"/>
    </row>
    <row r="189" spans="1:13" s="8" customFormat="1" ht="45" customHeight="1" thickBot="1" x14ac:dyDescent="0.3">
      <c r="A189" s="3"/>
      <c r="B189" s="7"/>
      <c r="C189" s="2"/>
      <c r="D189" s="15"/>
      <c r="E189" s="2"/>
      <c r="F189" s="2"/>
      <c r="G189" s="2"/>
      <c r="H189" s="2"/>
      <c r="I189" s="4"/>
      <c r="J189" s="2"/>
      <c r="K189" s="2"/>
      <c r="L189" s="12"/>
      <c r="M189" s="6"/>
    </row>
    <row r="190" spans="1:13" s="8" customFormat="1" ht="45" customHeight="1" thickBot="1" x14ac:dyDescent="0.3">
      <c r="A190" s="3"/>
      <c r="B190" s="7"/>
      <c r="C190" s="2"/>
      <c r="D190" s="15"/>
      <c r="E190" s="2"/>
      <c r="F190" s="2"/>
      <c r="G190" s="2"/>
      <c r="H190" s="2"/>
      <c r="I190" s="4"/>
      <c r="J190" s="2"/>
      <c r="K190" s="2"/>
      <c r="L190" s="12"/>
      <c r="M190" s="6"/>
    </row>
    <row r="191" spans="1:13" s="8" customFormat="1" ht="45" customHeight="1" thickBot="1" x14ac:dyDescent="0.3">
      <c r="A191" s="3"/>
      <c r="B191" s="7"/>
      <c r="C191" s="2"/>
      <c r="D191" s="16"/>
      <c r="E191" s="2"/>
      <c r="F191" s="2"/>
      <c r="G191" s="2"/>
      <c r="H191" s="2"/>
      <c r="I191" s="4"/>
      <c r="J191" s="2"/>
      <c r="K191" s="2"/>
      <c r="L191" s="12"/>
      <c r="M191" s="6"/>
    </row>
    <row r="192" spans="1:13" s="8" customFormat="1" ht="45" customHeight="1" thickBot="1" x14ac:dyDescent="0.3">
      <c r="A192" s="3"/>
      <c r="B192" s="7"/>
      <c r="C192" s="2"/>
      <c r="D192" s="16"/>
      <c r="E192" s="2"/>
      <c r="F192" s="2"/>
      <c r="G192" s="2"/>
      <c r="H192" s="2"/>
      <c r="I192" s="4"/>
      <c r="J192" s="2"/>
      <c r="K192" s="2"/>
      <c r="L192" s="12"/>
      <c r="M192" s="6"/>
    </row>
    <row r="193" spans="1:13" s="8" customFormat="1" ht="45" customHeight="1" thickBot="1" x14ac:dyDescent="0.3">
      <c r="A193" s="3"/>
      <c r="B193" s="7"/>
      <c r="C193" s="2"/>
      <c r="D193" s="15"/>
      <c r="E193" s="2"/>
      <c r="F193" s="2"/>
      <c r="G193" s="2"/>
      <c r="H193" s="2"/>
      <c r="I193" s="4"/>
      <c r="J193" s="2"/>
      <c r="K193" s="2"/>
      <c r="L193" s="12"/>
      <c r="M193" s="6"/>
    </row>
    <row r="194" spans="1:13" s="8" customFormat="1" ht="45" customHeight="1" thickBot="1" x14ac:dyDescent="0.3">
      <c r="A194" s="3"/>
      <c r="B194" s="7"/>
      <c r="C194" s="2"/>
      <c r="D194" s="15"/>
      <c r="E194" s="2"/>
      <c r="F194" s="2"/>
      <c r="G194" s="2"/>
      <c r="H194" s="2"/>
      <c r="I194" s="4"/>
      <c r="J194" s="2"/>
      <c r="K194" s="2"/>
      <c r="L194" s="12"/>
      <c r="M194" s="6"/>
    </row>
    <row r="195" spans="1:13" s="8" customFormat="1" ht="45" customHeight="1" thickBot="1" x14ac:dyDescent="0.3">
      <c r="A195" s="3"/>
      <c r="B195" s="7"/>
      <c r="C195" s="2"/>
      <c r="D195" s="15"/>
      <c r="E195" s="2"/>
      <c r="F195" s="2"/>
      <c r="G195" s="2"/>
      <c r="H195" s="2"/>
      <c r="I195" s="4"/>
      <c r="J195" s="2"/>
      <c r="K195" s="2"/>
      <c r="L195" s="12"/>
      <c r="M195" s="6"/>
    </row>
    <row r="196" spans="1:13" s="8" customFormat="1" ht="45" customHeight="1" thickBot="1" x14ac:dyDescent="0.3">
      <c r="A196" s="3"/>
      <c r="B196" s="7"/>
      <c r="C196" s="2"/>
      <c r="D196" s="15"/>
      <c r="E196" s="2"/>
      <c r="F196" s="2"/>
      <c r="G196" s="2"/>
      <c r="H196" s="2"/>
      <c r="I196" s="4"/>
      <c r="J196" s="2"/>
      <c r="K196" s="2"/>
      <c r="L196" s="12"/>
      <c r="M196" s="6"/>
    </row>
    <row r="197" spans="1:13" s="8" customFormat="1" ht="45" customHeight="1" thickBot="1" x14ac:dyDescent="0.3">
      <c r="A197" s="3"/>
      <c r="B197" s="7"/>
      <c r="C197" s="2"/>
      <c r="D197" s="15"/>
      <c r="E197" s="2"/>
      <c r="F197" s="2"/>
      <c r="G197" s="2"/>
      <c r="H197" s="2"/>
      <c r="I197" s="4"/>
      <c r="J197" s="2"/>
      <c r="K197" s="2"/>
      <c r="L197" s="12"/>
      <c r="M197" s="6"/>
    </row>
    <row r="198" spans="1:13" s="8" customFormat="1" ht="45" customHeight="1" thickBot="1" x14ac:dyDescent="0.3">
      <c r="A198" s="3"/>
      <c r="B198" s="7"/>
      <c r="C198" s="2"/>
      <c r="D198" s="15"/>
      <c r="E198" s="2"/>
      <c r="F198" s="2"/>
      <c r="G198" s="2"/>
      <c r="H198" s="2"/>
      <c r="I198" s="4"/>
      <c r="J198" s="2"/>
      <c r="K198" s="2"/>
      <c r="L198" s="12"/>
      <c r="M198" s="6"/>
    </row>
    <row r="199" spans="1:13" s="8" customFormat="1" ht="45" customHeight="1" thickBot="1" x14ac:dyDescent="0.3">
      <c r="A199" s="3"/>
      <c r="B199" s="7"/>
      <c r="C199" s="2"/>
      <c r="D199" s="15"/>
      <c r="E199" s="2"/>
      <c r="F199" s="2"/>
      <c r="G199" s="2"/>
      <c r="H199" s="2"/>
      <c r="I199" s="4"/>
      <c r="J199" s="2"/>
      <c r="K199" s="2"/>
      <c r="L199" s="12"/>
      <c r="M199" s="6"/>
    </row>
    <row r="200" spans="1:13" s="8" customFormat="1" ht="45" customHeight="1" thickBot="1" x14ac:dyDescent="0.3">
      <c r="A200" s="3"/>
      <c r="B200" s="7"/>
      <c r="C200" s="2"/>
      <c r="D200" s="15"/>
      <c r="E200" s="2"/>
      <c r="F200" s="2"/>
      <c r="G200" s="2"/>
      <c r="H200" s="2"/>
      <c r="I200" s="4"/>
      <c r="J200" s="2"/>
      <c r="K200" s="2"/>
      <c r="L200" s="12"/>
      <c r="M200" s="6"/>
    </row>
    <row r="201" spans="1:13" s="8" customFormat="1" ht="45" customHeight="1" thickBot="1" x14ac:dyDescent="0.3">
      <c r="A201" s="3"/>
      <c r="B201" s="7"/>
      <c r="C201" s="2"/>
      <c r="D201" s="15"/>
      <c r="E201" s="2"/>
      <c r="F201" s="2"/>
      <c r="G201" s="2"/>
      <c r="H201" s="2"/>
      <c r="I201" s="4"/>
      <c r="J201" s="2"/>
      <c r="K201" s="2"/>
      <c r="L201" s="12"/>
      <c r="M201" s="6"/>
    </row>
    <row r="202" spans="1:13" s="8" customFormat="1" ht="45" customHeight="1" thickBot="1" x14ac:dyDescent="0.3">
      <c r="A202" s="3"/>
      <c r="B202" s="7"/>
      <c r="C202" s="2"/>
      <c r="D202" s="15"/>
      <c r="E202" s="2"/>
      <c r="F202" s="2"/>
      <c r="G202" s="2"/>
      <c r="H202" s="2"/>
      <c r="I202" s="4"/>
      <c r="J202" s="2"/>
      <c r="K202" s="2"/>
      <c r="L202" s="12"/>
      <c r="M202" s="6"/>
    </row>
    <row r="203" spans="1:13" s="8" customFormat="1" ht="45" customHeight="1" thickBot="1" x14ac:dyDescent="0.3">
      <c r="A203" s="3"/>
      <c r="B203" s="7"/>
      <c r="C203" s="2"/>
      <c r="D203" s="15"/>
      <c r="E203" s="2"/>
      <c r="F203" s="2"/>
      <c r="G203" s="2"/>
      <c r="H203" s="2"/>
      <c r="I203" s="4"/>
      <c r="J203" s="2"/>
      <c r="K203" s="2"/>
      <c r="L203" s="12"/>
      <c r="M203" s="6"/>
    </row>
    <row r="204" spans="1:13" s="8" customFormat="1" ht="45" customHeight="1" thickBot="1" x14ac:dyDescent="0.3">
      <c r="A204" s="3"/>
      <c r="B204" s="7"/>
      <c r="C204" s="2"/>
      <c r="D204" s="15"/>
      <c r="E204" s="2"/>
      <c r="F204" s="2"/>
      <c r="G204" s="2"/>
      <c r="H204" s="2"/>
      <c r="I204" s="4"/>
      <c r="J204" s="2"/>
      <c r="K204" s="2"/>
      <c r="L204" s="12"/>
      <c r="M204" s="6"/>
    </row>
    <row r="205" spans="1:13" s="8" customFormat="1" ht="45" customHeight="1" thickBot="1" x14ac:dyDescent="0.3">
      <c r="A205" s="3"/>
      <c r="B205" s="7"/>
      <c r="C205" s="2"/>
      <c r="D205" s="10"/>
      <c r="E205" s="2"/>
      <c r="F205" s="2"/>
      <c r="G205" s="2"/>
      <c r="H205" s="2"/>
      <c r="I205" s="4"/>
      <c r="J205" s="2"/>
      <c r="K205" s="2"/>
      <c r="L205" s="12"/>
      <c r="M205" s="6"/>
    </row>
    <row r="206" spans="1:13" s="8" customFormat="1" ht="45" customHeight="1" thickBot="1" x14ac:dyDescent="0.3">
      <c r="A206" s="3"/>
      <c r="B206" s="7"/>
      <c r="C206" s="2"/>
      <c r="D206" s="15"/>
      <c r="E206" s="2"/>
      <c r="F206" s="2"/>
      <c r="G206" s="2"/>
      <c r="H206" s="2"/>
      <c r="I206" s="4"/>
      <c r="J206" s="2"/>
      <c r="K206" s="2"/>
      <c r="L206" s="12"/>
      <c r="M206" s="6"/>
    </row>
    <row r="207" spans="1:13" s="8" customFormat="1" ht="45" customHeight="1" thickBot="1" x14ac:dyDescent="0.3">
      <c r="A207" s="3"/>
      <c r="B207" s="7"/>
      <c r="C207" s="2"/>
      <c r="D207" s="15"/>
      <c r="E207" s="2"/>
      <c r="F207" s="2"/>
      <c r="G207" s="2"/>
      <c r="H207" s="2"/>
      <c r="I207" s="4"/>
      <c r="J207" s="2"/>
      <c r="K207" s="2"/>
      <c r="L207" s="12"/>
      <c r="M207" s="6"/>
    </row>
    <row r="208" spans="1:13" s="8" customFormat="1" ht="45" customHeight="1" thickBot="1" x14ac:dyDescent="0.3">
      <c r="A208" s="3"/>
      <c r="B208" s="7"/>
      <c r="C208" s="2"/>
      <c r="D208" s="15"/>
      <c r="E208" s="2"/>
      <c r="F208" s="2"/>
      <c r="G208" s="2"/>
      <c r="H208" s="2"/>
      <c r="I208" s="4"/>
      <c r="J208" s="2"/>
      <c r="K208" s="2"/>
      <c r="L208" s="12"/>
      <c r="M208" s="6"/>
    </row>
    <row r="209" spans="1:13" s="8" customFormat="1" ht="45" customHeight="1" thickBot="1" x14ac:dyDescent="0.3">
      <c r="A209" s="3"/>
      <c r="B209" s="7"/>
      <c r="C209" s="2"/>
      <c r="D209" s="15"/>
      <c r="E209" s="2"/>
      <c r="F209" s="2"/>
      <c r="G209" s="2"/>
      <c r="H209" s="2"/>
      <c r="I209" s="4"/>
      <c r="J209" s="2"/>
      <c r="K209" s="2"/>
      <c r="L209" s="12"/>
      <c r="M209" s="6"/>
    </row>
    <row r="210" spans="1:13" s="8" customFormat="1" ht="45" customHeight="1" thickBot="1" x14ac:dyDescent="0.3">
      <c r="A210" s="3"/>
      <c r="B210" s="7"/>
      <c r="C210" s="2"/>
      <c r="D210" s="15"/>
      <c r="E210" s="2"/>
      <c r="F210" s="2"/>
      <c r="G210" s="2"/>
      <c r="H210" s="2"/>
      <c r="I210" s="4"/>
      <c r="J210" s="2"/>
      <c r="K210" s="2"/>
      <c r="L210" s="12"/>
      <c r="M210" s="6"/>
    </row>
    <row r="211" spans="1:13" s="8" customFormat="1" ht="45" customHeight="1" thickBot="1" x14ac:dyDescent="0.3">
      <c r="A211" s="3"/>
      <c r="B211" s="7"/>
      <c r="C211" s="2"/>
      <c r="D211" s="15"/>
      <c r="E211" s="2"/>
      <c r="F211" s="2"/>
      <c r="G211" s="2"/>
      <c r="H211" s="2"/>
      <c r="I211" s="4"/>
      <c r="J211" s="2"/>
      <c r="K211" s="2"/>
      <c r="L211" s="12"/>
      <c r="M211" s="6"/>
    </row>
    <row r="212" spans="1:13" s="8" customFormat="1" ht="45" customHeight="1" thickBot="1" x14ac:dyDescent="0.3">
      <c r="A212" s="3"/>
      <c r="B212" s="7"/>
      <c r="C212" s="2"/>
      <c r="D212" s="15"/>
      <c r="E212" s="2"/>
      <c r="F212" s="2"/>
      <c r="G212" s="2"/>
      <c r="H212" s="2"/>
      <c r="I212" s="4"/>
      <c r="J212" s="2"/>
      <c r="K212" s="2"/>
      <c r="L212" s="12"/>
      <c r="M212" s="6"/>
    </row>
    <row r="213" spans="1:13" s="8" customFormat="1" ht="45" customHeight="1" thickBot="1" x14ac:dyDescent="0.3">
      <c r="A213" s="3"/>
      <c r="B213" s="7"/>
      <c r="C213" s="2"/>
      <c r="D213" s="2"/>
      <c r="E213" s="2"/>
      <c r="F213" s="2"/>
      <c r="G213" s="2"/>
      <c r="H213" s="2"/>
      <c r="I213" s="4"/>
      <c r="J213" s="2"/>
      <c r="K213" s="2"/>
      <c r="L213" s="12"/>
      <c r="M213" s="6"/>
    </row>
    <row r="214" spans="1:13" s="8" customFormat="1" ht="45" customHeight="1" thickBot="1" x14ac:dyDescent="0.3">
      <c r="A214" s="3"/>
      <c r="B214" s="7"/>
      <c r="C214" s="2"/>
      <c r="D214" s="15"/>
      <c r="E214" s="2"/>
      <c r="F214" s="2"/>
      <c r="G214" s="2"/>
      <c r="H214" s="2"/>
      <c r="I214" s="4"/>
      <c r="J214" s="2"/>
      <c r="K214" s="2"/>
      <c r="L214" s="12"/>
      <c r="M214" s="6"/>
    </row>
    <row r="215" spans="1:13" s="8" customFormat="1" ht="45" customHeight="1" thickBot="1" x14ac:dyDescent="0.3">
      <c r="A215" s="3"/>
      <c r="B215" s="7"/>
      <c r="C215" s="2"/>
      <c r="D215" s="15"/>
      <c r="E215" s="2"/>
      <c r="F215" s="2"/>
      <c r="G215" s="2"/>
      <c r="H215" s="2"/>
      <c r="I215" s="4"/>
      <c r="J215" s="2"/>
      <c r="K215" s="2"/>
      <c r="L215" s="12"/>
      <c r="M215" s="6"/>
    </row>
    <row r="216" spans="1:13" s="8" customFormat="1" ht="45" customHeight="1" thickBot="1" x14ac:dyDescent="0.3">
      <c r="A216" s="3"/>
      <c r="B216" s="7"/>
      <c r="C216" s="2"/>
      <c r="D216" s="15"/>
      <c r="E216" s="2"/>
      <c r="F216" s="2"/>
      <c r="G216" s="2"/>
      <c r="H216" s="2"/>
      <c r="I216" s="4"/>
      <c r="J216" s="2"/>
      <c r="K216" s="2"/>
      <c r="L216" s="12"/>
      <c r="M216" s="6"/>
    </row>
    <row r="217" spans="1:13" s="8" customFormat="1" ht="45" customHeight="1" thickBot="1" x14ac:dyDescent="0.3">
      <c r="A217" s="3"/>
      <c r="B217" s="7"/>
      <c r="C217" s="2"/>
      <c r="D217" s="15"/>
      <c r="E217" s="2"/>
      <c r="F217" s="2"/>
      <c r="G217" s="2"/>
      <c r="H217" s="2"/>
      <c r="I217" s="4"/>
      <c r="J217" s="2"/>
      <c r="K217" s="2"/>
      <c r="L217" s="12"/>
      <c r="M217" s="6"/>
    </row>
    <row r="218" spans="1:13" s="8" customFormat="1" ht="45" customHeight="1" thickBot="1" x14ac:dyDescent="0.3">
      <c r="A218" s="3"/>
      <c r="B218" s="7"/>
      <c r="C218" s="2"/>
      <c r="D218" s="15"/>
      <c r="E218" s="2"/>
      <c r="F218" s="2"/>
      <c r="G218" s="2"/>
      <c r="H218" s="2"/>
      <c r="I218" s="4"/>
      <c r="J218" s="2"/>
      <c r="K218" s="2"/>
      <c r="L218" s="12"/>
      <c r="M218" s="6"/>
    </row>
    <row r="219" spans="1:13" s="8" customFormat="1" ht="45" customHeight="1" thickBot="1" x14ac:dyDescent="0.3">
      <c r="A219" s="3"/>
      <c r="B219" s="7"/>
      <c r="C219" s="2"/>
      <c r="D219" s="15"/>
      <c r="E219" s="2"/>
      <c r="F219" s="2"/>
      <c r="G219" s="2"/>
      <c r="H219" s="2"/>
      <c r="I219" s="4"/>
      <c r="J219" s="2"/>
      <c r="K219" s="2"/>
      <c r="L219" s="12"/>
      <c r="M219" s="6"/>
    </row>
    <row r="220" spans="1:13" s="8" customFormat="1" ht="45" customHeight="1" thickBot="1" x14ac:dyDescent="0.3">
      <c r="A220" s="3"/>
      <c r="B220" s="7"/>
      <c r="C220" s="2"/>
      <c r="D220" s="15"/>
      <c r="E220" s="2"/>
      <c r="F220" s="2"/>
      <c r="G220" s="2"/>
      <c r="H220" s="2"/>
      <c r="I220" s="4"/>
      <c r="J220" s="2"/>
      <c r="K220" s="2"/>
      <c r="L220" s="12"/>
      <c r="M220" s="6"/>
    </row>
    <row r="221" spans="1:13" s="8" customFormat="1" ht="45" customHeight="1" thickBot="1" x14ac:dyDescent="0.3">
      <c r="A221" s="3"/>
      <c r="B221" s="7"/>
      <c r="C221" s="2"/>
      <c r="D221" s="15"/>
      <c r="E221" s="2"/>
      <c r="F221" s="2"/>
      <c r="G221" s="2"/>
      <c r="H221" s="2"/>
      <c r="I221" s="4"/>
      <c r="J221" s="2"/>
      <c r="K221" s="2"/>
      <c r="L221" s="12"/>
      <c r="M221" s="6"/>
    </row>
    <row r="222" spans="1:13" s="8" customFormat="1" ht="45" customHeight="1" thickBot="1" x14ac:dyDescent="0.3">
      <c r="A222" s="3"/>
      <c r="B222" s="7"/>
      <c r="C222" s="2"/>
      <c r="D222" s="15"/>
      <c r="E222" s="2"/>
      <c r="F222" s="2"/>
      <c r="G222" s="2"/>
      <c r="H222" s="2"/>
      <c r="I222" s="4"/>
      <c r="J222" s="2"/>
      <c r="K222" s="2"/>
      <c r="L222" s="12"/>
      <c r="M222" s="6"/>
    </row>
    <row r="223" spans="1:13" s="8" customFormat="1" ht="45" customHeight="1" thickBot="1" x14ac:dyDescent="0.3">
      <c r="A223" s="3"/>
      <c r="B223" s="7"/>
      <c r="C223" s="2"/>
      <c r="D223" s="15"/>
      <c r="E223" s="2"/>
      <c r="F223" s="2"/>
      <c r="G223" s="2"/>
      <c r="H223" s="2"/>
      <c r="I223" s="4"/>
      <c r="J223" s="2"/>
      <c r="K223" s="2"/>
      <c r="L223" s="12"/>
      <c r="M223" s="6"/>
    </row>
    <row r="224" spans="1:13" s="8" customFormat="1" ht="45" customHeight="1" thickBot="1" x14ac:dyDescent="0.3">
      <c r="A224" s="3"/>
      <c r="B224" s="7"/>
      <c r="C224" s="2"/>
      <c r="D224" s="15"/>
      <c r="E224" s="2"/>
      <c r="F224" s="2"/>
      <c r="G224" s="2"/>
      <c r="H224" s="2"/>
      <c r="I224" s="4"/>
      <c r="J224" s="2"/>
      <c r="K224" s="2"/>
      <c r="L224" s="12"/>
      <c r="M224" s="6"/>
    </row>
    <row r="225" spans="1:13" s="8" customFormat="1" ht="45" customHeight="1" thickBot="1" x14ac:dyDescent="0.3">
      <c r="A225" s="3"/>
      <c r="B225" s="7"/>
      <c r="C225" s="2"/>
      <c r="D225" s="15"/>
      <c r="E225" s="2"/>
      <c r="F225" s="2"/>
      <c r="G225" s="2"/>
      <c r="H225" s="2"/>
      <c r="I225" s="4"/>
      <c r="J225" s="2"/>
      <c r="K225" s="2"/>
      <c r="L225" s="12"/>
      <c r="M225" s="6"/>
    </row>
    <row r="226" spans="1:13" s="8" customFormat="1" ht="45" customHeight="1" thickBot="1" x14ac:dyDescent="0.3">
      <c r="A226" s="3"/>
      <c r="B226" s="7"/>
      <c r="C226" s="2"/>
      <c r="D226" s="15"/>
      <c r="E226" s="2"/>
      <c r="F226" s="2"/>
      <c r="G226" s="2"/>
      <c r="H226" s="2"/>
      <c r="I226" s="4"/>
      <c r="J226" s="2"/>
      <c r="K226" s="2"/>
      <c r="L226" s="12"/>
      <c r="M226" s="6"/>
    </row>
    <row r="227" spans="1:13" s="8" customFormat="1" ht="45" customHeight="1" thickBot="1" x14ac:dyDescent="0.3">
      <c r="A227" s="3"/>
      <c r="B227" s="7"/>
      <c r="C227" s="2"/>
      <c r="D227" s="10"/>
      <c r="E227" s="7"/>
      <c r="F227" s="2"/>
      <c r="G227" s="2"/>
      <c r="H227" s="2"/>
      <c r="I227" s="4"/>
      <c r="J227" s="2"/>
      <c r="K227" s="2"/>
      <c r="L227" s="12"/>
      <c r="M227" s="6"/>
    </row>
    <row r="228" spans="1:13" s="8" customFormat="1" ht="45" customHeight="1" thickBot="1" x14ac:dyDescent="0.3">
      <c r="A228" s="3"/>
      <c r="B228" s="7"/>
      <c r="C228" s="4"/>
      <c r="D228" s="10"/>
      <c r="E228" s="7"/>
      <c r="F228" s="2"/>
      <c r="G228" s="2"/>
      <c r="H228" s="2"/>
      <c r="I228" s="4"/>
      <c r="J228" s="2"/>
      <c r="K228" s="2"/>
      <c r="L228" s="12"/>
      <c r="M228" s="6"/>
    </row>
    <row r="229" spans="1:13" s="8" customFormat="1" ht="45" customHeight="1" thickBot="1" x14ac:dyDescent="0.3">
      <c r="A229" s="3"/>
      <c r="B229" s="7"/>
      <c r="C229" s="7"/>
      <c r="D229" s="15"/>
      <c r="E229" s="7"/>
      <c r="F229" s="2"/>
      <c r="G229" s="2"/>
      <c r="H229" s="2"/>
      <c r="I229" s="4"/>
      <c r="J229" s="2"/>
      <c r="K229" s="2"/>
      <c r="L229" s="12"/>
      <c r="M229" s="6"/>
    </row>
    <row r="230" spans="1:13" s="8" customFormat="1" ht="45" customHeight="1" thickBot="1" x14ac:dyDescent="0.3">
      <c r="A230" s="3"/>
      <c r="B230" s="7"/>
      <c r="C230" s="7"/>
      <c r="D230" s="15"/>
      <c r="E230" s="7"/>
      <c r="F230" s="2"/>
      <c r="G230" s="2"/>
      <c r="H230" s="2"/>
      <c r="I230" s="4"/>
      <c r="J230" s="2"/>
      <c r="K230" s="2"/>
      <c r="L230" s="12"/>
      <c r="M230" s="6"/>
    </row>
    <row r="231" spans="1:13" s="8" customFormat="1" ht="45" customHeight="1" thickBot="1" x14ac:dyDescent="0.3">
      <c r="A231" s="3"/>
      <c r="B231" s="7"/>
      <c r="C231" s="7"/>
      <c r="D231" s="15"/>
      <c r="E231" s="7"/>
      <c r="F231" s="2"/>
      <c r="G231" s="2"/>
      <c r="H231" s="2"/>
      <c r="I231" s="4"/>
      <c r="J231" s="2"/>
      <c r="K231" s="2"/>
      <c r="L231" s="12"/>
      <c r="M231" s="6"/>
    </row>
    <row r="232" spans="1:13" s="8" customFormat="1" ht="45" customHeight="1" thickBot="1" x14ac:dyDescent="0.3">
      <c r="A232" s="3"/>
      <c r="B232" s="7"/>
      <c r="C232" s="7"/>
      <c r="D232" s="15"/>
      <c r="E232" s="7"/>
      <c r="F232" s="2"/>
      <c r="G232" s="2"/>
      <c r="H232" s="2"/>
      <c r="I232" s="4"/>
      <c r="J232" s="2"/>
      <c r="K232" s="2"/>
      <c r="L232" s="12"/>
      <c r="M232" s="6"/>
    </row>
    <row r="233" spans="1:13" s="8" customFormat="1" ht="45" customHeight="1" thickBot="1" x14ac:dyDescent="0.3">
      <c r="A233" s="3"/>
      <c r="B233" s="7"/>
      <c r="C233" s="7"/>
      <c r="D233" s="15"/>
      <c r="E233" s="7"/>
      <c r="F233" s="2"/>
      <c r="G233" s="2"/>
      <c r="H233" s="2"/>
      <c r="I233" s="4"/>
      <c r="J233" s="2"/>
      <c r="K233" s="2"/>
      <c r="L233" s="12"/>
      <c r="M233" s="6"/>
    </row>
    <row r="234" spans="1:13" s="8" customFormat="1" ht="45" customHeight="1" thickBot="1" x14ac:dyDescent="0.3">
      <c r="A234" s="3"/>
      <c r="B234" s="7"/>
      <c r="C234" s="7"/>
      <c r="D234" s="15"/>
      <c r="E234" s="7"/>
      <c r="F234" s="2"/>
      <c r="G234" s="2"/>
      <c r="H234" s="2"/>
      <c r="I234" s="4"/>
      <c r="J234" s="2"/>
      <c r="K234" s="2"/>
      <c r="L234" s="12"/>
      <c r="M234" s="6"/>
    </row>
    <row r="235" spans="1:13" s="8" customFormat="1" ht="45" customHeight="1" thickBot="1" x14ac:dyDescent="0.3">
      <c r="A235" s="3"/>
      <c r="B235" s="7"/>
      <c r="C235" s="7"/>
      <c r="D235" s="16"/>
      <c r="E235" s="7"/>
      <c r="F235" s="2"/>
      <c r="G235" s="2"/>
      <c r="H235" s="2"/>
      <c r="I235" s="4"/>
      <c r="J235" s="2"/>
      <c r="K235" s="2"/>
      <c r="L235" s="12"/>
      <c r="M235" s="6"/>
    </row>
    <row r="236" spans="1:13" s="8" customFormat="1" ht="45" customHeight="1" thickBot="1" x14ac:dyDescent="0.3">
      <c r="A236" s="3"/>
      <c r="B236" s="7"/>
      <c r="C236" s="4"/>
      <c r="D236" s="13"/>
      <c r="E236" s="7"/>
      <c r="F236" s="2"/>
      <c r="G236" s="2"/>
      <c r="H236" s="7"/>
      <c r="I236" s="4"/>
      <c r="J236" s="2"/>
      <c r="K236" s="2"/>
      <c r="L236" s="12"/>
      <c r="M236" s="6"/>
    </row>
    <row r="237" spans="1:13" s="8" customFormat="1" ht="45" customHeight="1" thickBot="1" x14ac:dyDescent="0.3">
      <c r="A237" s="3"/>
      <c r="B237" s="7"/>
      <c r="C237" s="4"/>
      <c r="D237" s="13"/>
      <c r="E237" s="7"/>
      <c r="F237" s="2"/>
      <c r="G237" s="2"/>
      <c r="H237" s="7"/>
      <c r="I237" s="4"/>
      <c r="J237" s="2"/>
      <c r="K237" s="2"/>
      <c r="L237" s="12"/>
      <c r="M237" s="6"/>
    </row>
    <row r="238" spans="1:13" s="8" customFormat="1" ht="45" customHeight="1" thickBot="1" x14ac:dyDescent="0.3">
      <c r="A238" s="3"/>
      <c r="B238" s="7"/>
      <c r="C238" s="4"/>
      <c r="D238" s="13"/>
      <c r="E238" s="7"/>
      <c r="F238" s="2"/>
      <c r="G238" s="2"/>
      <c r="H238" s="7"/>
      <c r="I238" s="4"/>
      <c r="J238" s="2"/>
      <c r="K238" s="2"/>
      <c r="L238" s="12"/>
      <c r="M238" s="6"/>
    </row>
    <row r="239" spans="1:13" s="8" customFormat="1" ht="45" customHeight="1" thickBot="1" x14ac:dyDescent="0.3">
      <c r="A239" s="3"/>
      <c r="B239" s="7"/>
      <c r="C239" s="7"/>
      <c r="D239" s="15"/>
      <c r="E239" s="7"/>
      <c r="F239" s="2"/>
      <c r="G239" s="2"/>
      <c r="H239" s="2"/>
      <c r="I239" s="4"/>
      <c r="J239" s="2"/>
      <c r="K239" s="2"/>
      <c r="L239" s="12"/>
      <c r="M239" s="6"/>
    </row>
    <row r="240" spans="1:13" s="8" customFormat="1" ht="45" customHeight="1" thickBot="1" x14ac:dyDescent="0.3">
      <c r="A240" s="3"/>
      <c r="B240" s="7"/>
      <c r="C240" s="7"/>
      <c r="D240" s="16"/>
      <c r="E240" s="7"/>
      <c r="F240" s="2"/>
      <c r="G240" s="2"/>
      <c r="H240" s="2"/>
      <c r="I240" s="4"/>
      <c r="J240" s="2"/>
      <c r="K240" s="2"/>
      <c r="L240" s="12"/>
      <c r="M240" s="6"/>
    </row>
    <row r="241" spans="1:13" ht="45" customHeight="1" thickBot="1" x14ac:dyDescent="0.3">
      <c r="A241" s="3"/>
      <c r="B241" s="7"/>
      <c r="C241" s="7"/>
      <c r="D241" s="2"/>
      <c r="E241" s="7"/>
      <c r="F241" s="2"/>
      <c r="G241" s="2"/>
      <c r="H241" s="7"/>
      <c r="I241" s="4"/>
      <c r="J241" s="4"/>
      <c r="K241" s="4"/>
      <c r="L241" s="11"/>
      <c r="M241" s="5"/>
    </row>
    <row r="242" spans="1:13" ht="45" customHeight="1" thickBot="1" x14ac:dyDescent="0.3">
      <c r="A242" s="3"/>
      <c r="B242" s="7"/>
      <c r="C242" s="7"/>
      <c r="D242" s="2"/>
      <c r="E242" s="7"/>
      <c r="F242" s="2"/>
      <c r="G242" s="2"/>
      <c r="H242" s="7"/>
      <c r="I242" s="4"/>
      <c r="J242" s="4"/>
      <c r="K242" s="4"/>
      <c r="L242" s="11"/>
      <c r="M242" s="5"/>
    </row>
    <row r="243" spans="1:13" ht="45" customHeight="1" thickBot="1" x14ac:dyDescent="0.3">
      <c r="A243" s="3"/>
      <c r="B243" s="7"/>
      <c r="C243" s="7"/>
      <c r="D243" s="2"/>
      <c r="E243" s="7"/>
      <c r="F243" s="2"/>
      <c r="G243" s="2"/>
      <c r="H243" s="7"/>
      <c r="I243" s="4"/>
      <c r="J243" s="4"/>
      <c r="K243" s="4"/>
      <c r="L243" s="11"/>
      <c r="M243" s="5"/>
    </row>
    <row r="244" spans="1:13" ht="45" customHeight="1" thickBot="1" x14ac:dyDescent="0.3">
      <c r="A244" s="3"/>
      <c r="B244" s="7"/>
      <c r="C244" s="7"/>
      <c r="D244" s="2"/>
      <c r="E244" s="7"/>
      <c r="F244" s="2"/>
      <c r="G244" s="2"/>
      <c r="H244" s="7"/>
      <c r="I244" s="4"/>
      <c r="J244" s="4"/>
      <c r="K244" s="4"/>
      <c r="L244" s="11"/>
      <c r="M244" s="5"/>
    </row>
    <row r="245" spans="1:13" ht="45" customHeight="1" thickBot="1" x14ac:dyDescent="0.3">
      <c r="A245" s="3"/>
      <c r="B245" s="7"/>
      <c r="C245" s="7"/>
      <c r="D245" s="2"/>
      <c r="E245" s="7"/>
      <c r="F245" s="2"/>
      <c r="G245" s="2"/>
      <c r="H245" s="7"/>
      <c r="I245" s="4"/>
      <c r="J245" s="4"/>
      <c r="K245" s="4"/>
      <c r="L245" s="11"/>
      <c r="M245" s="5"/>
    </row>
    <row r="246" spans="1:13" ht="45" customHeight="1" thickBot="1" x14ac:dyDescent="0.3">
      <c r="A246" s="3"/>
      <c r="B246" s="7"/>
      <c r="C246" s="7"/>
      <c r="D246" s="2"/>
      <c r="E246" s="7"/>
      <c r="F246" s="2"/>
      <c r="G246" s="2"/>
      <c r="H246" s="7"/>
      <c r="I246" s="4"/>
      <c r="J246" s="4"/>
      <c r="K246" s="4"/>
      <c r="L246" s="11"/>
      <c r="M246" s="5"/>
    </row>
    <row r="247" spans="1:13" s="8" customFormat="1" ht="45" customHeight="1" thickBot="1" x14ac:dyDescent="0.3">
      <c r="A247" s="3"/>
      <c r="B247" s="7"/>
      <c r="C247" s="4"/>
      <c r="D247" s="10"/>
      <c r="E247" s="7"/>
      <c r="F247" s="2"/>
      <c r="G247" s="2"/>
      <c r="H247" s="7"/>
      <c r="I247" s="4"/>
      <c r="J247" s="2"/>
      <c r="K247" s="2"/>
      <c r="L247" s="12"/>
      <c r="M247" s="6"/>
    </row>
    <row r="248" spans="1:13" s="8" customFormat="1" ht="45" customHeight="1" thickBot="1" x14ac:dyDescent="0.3">
      <c r="A248" s="3"/>
      <c r="B248" s="7"/>
      <c r="C248" s="4"/>
      <c r="D248" s="10"/>
      <c r="E248" s="7"/>
      <c r="F248" s="2"/>
      <c r="G248" s="2"/>
      <c r="H248" s="7"/>
      <c r="I248" s="4"/>
      <c r="J248" s="2"/>
      <c r="K248" s="2"/>
      <c r="L248" s="12"/>
      <c r="M248" s="6"/>
    </row>
    <row r="249" spans="1:13" s="8" customFormat="1" ht="45" customHeight="1" thickBot="1" x14ac:dyDescent="0.3">
      <c r="A249" s="3"/>
      <c r="B249" s="7"/>
      <c r="C249" s="4"/>
      <c r="D249" s="15"/>
      <c r="E249" s="7"/>
      <c r="F249" s="2"/>
      <c r="G249" s="2"/>
      <c r="H249" s="7"/>
      <c r="I249" s="4"/>
      <c r="J249" s="2"/>
      <c r="K249" s="2"/>
      <c r="L249" s="12"/>
      <c r="M249" s="27"/>
    </row>
    <row r="250" spans="1:13" s="8" customFormat="1" ht="45" customHeight="1" thickBot="1" x14ac:dyDescent="0.3">
      <c r="A250" s="3"/>
      <c r="B250" s="7"/>
      <c r="C250" s="4"/>
      <c r="D250" s="2"/>
      <c r="E250" s="7"/>
      <c r="F250" s="2"/>
      <c r="G250" s="2"/>
      <c r="H250" s="7"/>
      <c r="I250" s="4"/>
      <c r="J250" s="2"/>
      <c r="K250" s="2"/>
      <c r="L250" s="12"/>
      <c r="M250" s="6"/>
    </row>
    <row r="251" spans="1:13" s="8" customFormat="1" ht="45" customHeight="1" thickBot="1" x14ac:dyDescent="0.3">
      <c r="A251" s="3"/>
      <c r="B251" s="7"/>
      <c r="C251" s="4"/>
      <c r="D251" s="2"/>
      <c r="E251" s="7"/>
      <c r="F251" s="2"/>
      <c r="G251" s="2"/>
      <c r="H251" s="7"/>
      <c r="I251" s="4"/>
      <c r="J251" s="2"/>
      <c r="K251" s="2"/>
      <c r="L251" s="12"/>
      <c r="M251" s="6"/>
    </row>
    <row r="252" spans="1:13" s="8" customFormat="1" ht="45" customHeight="1" thickBot="1" x14ac:dyDescent="0.3">
      <c r="A252" s="3"/>
      <c r="B252" s="7"/>
      <c r="C252" s="4"/>
      <c r="D252" s="2"/>
      <c r="E252" s="7"/>
      <c r="F252" s="2"/>
      <c r="G252" s="2"/>
      <c r="H252" s="7"/>
      <c r="I252" s="4"/>
      <c r="J252" s="2"/>
      <c r="K252" s="2"/>
      <c r="L252" s="12"/>
      <c r="M252" s="6"/>
    </row>
    <row r="253" spans="1:13" ht="45" customHeight="1" thickBot="1" x14ac:dyDescent="0.3">
      <c r="A253" s="3"/>
      <c r="B253" s="7"/>
      <c r="C253" s="7"/>
      <c r="D253" s="2"/>
      <c r="E253" s="7"/>
      <c r="F253" s="7"/>
      <c r="G253" s="7"/>
      <c r="H253" s="7"/>
      <c r="I253" s="4"/>
      <c r="J253" s="4"/>
      <c r="K253" s="4"/>
      <c r="L253" s="11"/>
      <c r="M253" s="5"/>
    </row>
    <row r="254" spans="1:13" ht="45" customHeight="1" thickBot="1" x14ac:dyDescent="0.3">
      <c r="A254" s="3"/>
      <c r="B254" s="7"/>
      <c r="C254" s="7"/>
      <c r="D254" s="2"/>
      <c r="E254" s="7"/>
      <c r="F254" s="7"/>
      <c r="G254" s="7"/>
      <c r="H254" s="7"/>
      <c r="I254" s="4"/>
      <c r="J254" s="4"/>
      <c r="K254" s="4"/>
      <c r="L254" s="11"/>
      <c r="M254" s="5"/>
    </row>
    <row r="255" spans="1:13" ht="45" customHeight="1" thickBot="1" x14ac:dyDescent="0.3">
      <c r="A255" s="3"/>
      <c r="B255" s="7"/>
      <c r="C255" s="7"/>
      <c r="D255" s="2"/>
      <c r="E255" s="7"/>
      <c r="F255" s="7"/>
      <c r="G255" s="7"/>
      <c r="H255" s="7"/>
      <c r="I255" s="4"/>
      <c r="J255" s="4"/>
      <c r="K255" s="4"/>
      <c r="L255" s="11"/>
      <c r="M255" s="5"/>
    </row>
    <row r="256" spans="1:13" ht="45" customHeight="1" thickBot="1" x14ac:dyDescent="0.3">
      <c r="A256" s="3"/>
      <c r="B256" s="7"/>
      <c r="C256" s="7"/>
      <c r="D256" s="2"/>
      <c r="E256" s="7"/>
      <c r="F256" s="7"/>
      <c r="G256" s="7"/>
      <c r="H256" s="7"/>
      <c r="I256" s="4"/>
      <c r="J256" s="4"/>
      <c r="K256" s="4"/>
      <c r="L256" s="11"/>
      <c r="M256" s="5"/>
    </row>
    <row r="257" spans="1:13" ht="45" customHeight="1" thickBot="1" x14ac:dyDescent="0.3">
      <c r="A257" s="3"/>
      <c r="B257" s="7"/>
      <c r="C257" s="7"/>
      <c r="D257" s="2"/>
      <c r="E257" s="7"/>
      <c r="F257" s="7"/>
      <c r="G257" s="7"/>
      <c r="H257" s="7"/>
      <c r="I257" s="4"/>
      <c r="J257" s="4"/>
      <c r="K257" s="4"/>
      <c r="L257" s="11"/>
      <c r="M257" s="5"/>
    </row>
    <row r="258" spans="1:13" s="8" customFormat="1" ht="45" customHeight="1" thickBot="1" x14ac:dyDescent="0.3">
      <c r="A258" s="3"/>
      <c r="B258" s="7"/>
      <c r="C258" s="7"/>
      <c r="D258" s="10"/>
      <c r="E258" s="7"/>
      <c r="F258" s="7"/>
      <c r="G258" s="7"/>
      <c r="H258" s="7"/>
      <c r="I258" s="4"/>
      <c r="J258" s="4"/>
      <c r="K258" s="2"/>
      <c r="L258" s="12"/>
      <c r="M258" s="27"/>
    </row>
    <row r="259" spans="1:13" s="8" customFormat="1" ht="45" customHeight="1" thickBot="1" x14ac:dyDescent="0.3">
      <c r="A259" s="3"/>
      <c r="B259" s="7"/>
      <c r="C259" s="7"/>
      <c r="D259" s="10"/>
      <c r="E259" s="7"/>
      <c r="F259" s="7"/>
      <c r="G259" s="7"/>
      <c r="H259" s="7"/>
      <c r="I259" s="4"/>
      <c r="J259" s="4"/>
      <c r="K259" s="2"/>
      <c r="L259" s="12"/>
      <c r="M259" s="27"/>
    </row>
    <row r="260" spans="1:13" s="8" customFormat="1" ht="45" customHeight="1" thickBot="1" x14ac:dyDescent="0.3">
      <c r="A260" s="3"/>
      <c r="B260" s="7"/>
      <c r="C260" s="7"/>
      <c r="D260" s="10"/>
      <c r="E260" s="7"/>
      <c r="F260" s="7"/>
      <c r="G260" s="7"/>
      <c r="H260" s="7"/>
      <c r="I260" s="4"/>
      <c r="J260" s="4"/>
      <c r="K260" s="2"/>
      <c r="L260" s="12"/>
      <c r="M260" s="27"/>
    </row>
    <row r="261" spans="1:13" s="8" customFormat="1" ht="45" customHeight="1" thickBot="1" x14ac:dyDescent="0.3">
      <c r="A261" s="3"/>
      <c r="B261" s="7"/>
      <c r="C261" s="7"/>
      <c r="D261" s="10"/>
      <c r="E261" s="7"/>
      <c r="F261" s="7"/>
      <c r="G261" s="7"/>
      <c r="H261" s="7"/>
      <c r="I261" s="4"/>
      <c r="J261" s="4"/>
      <c r="K261" s="2"/>
      <c r="L261" s="12"/>
      <c r="M261" s="27"/>
    </row>
    <row r="262" spans="1:13" ht="45" customHeight="1" thickBot="1" x14ac:dyDescent="0.3">
      <c r="A262" s="3"/>
      <c r="B262" s="7"/>
      <c r="C262" s="7"/>
      <c r="D262" s="2"/>
      <c r="E262" s="7"/>
      <c r="F262" s="7"/>
      <c r="G262" s="7"/>
      <c r="H262" s="7"/>
      <c r="I262" s="4"/>
      <c r="J262" s="4"/>
      <c r="K262" s="4"/>
      <c r="L262" s="11"/>
      <c r="M262" s="5"/>
    </row>
    <row r="263" spans="1:13" s="8" customFormat="1" ht="45" customHeight="1" thickBot="1" x14ac:dyDescent="0.3">
      <c r="A263" s="3"/>
      <c r="B263" s="7"/>
      <c r="C263" s="2"/>
      <c r="D263" s="10"/>
      <c r="E263" s="7"/>
      <c r="F263" s="7"/>
      <c r="G263" s="7"/>
      <c r="H263" s="4"/>
      <c r="I263" s="4"/>
      <c r="J263" s="2"/>
      <c r="K263" s="2"/>
      <c r="L263" s="12"/>
      <c r="M263" s="6"/>
    </row>
    <row r="264" spans="1:13" s="8" customFormat="1" ht="45" customHeight="1" thickBot="1" x14ac:dyDescent="0.3">
      <c r="A264" s="3"/>
      <c r="B264" s="7"/>
      <c r="C264" s="2"/>
      <c r="D264" s="10"/>
      <c r="E264" s="7"/>
      <c r="F264" s="7"/>
      <c r="G264" s="7"/>
      <c r="H264" s="4"/>
      <c r="I264" s="4"/>
      <c r="J264" s="2"/>
      <c r="K264" s="2"/>
      <c r="L264" s="12"/>
      <c r="M264" s="6"/>
    </row>
    <row r="265" spans="1:13" s="8" customFormat="1" ht="45" customHeight="1" thickBot="1" x14ac:dyDescent="0.3">
      <c r="A265" s="3"/>
      <c r="B265" s="7"/>
      <c r="C265" s="2"/>
      <c r="D265" s="10"/>
      <c r="E265" s="7"/>
      <c r="F265" s="7"/>
      <c r="G265" s="7"/>
      <c r="H265" s="4"/>
      <c r="I265" s="4"/>
      <c r="J265" s="2"/>
      <c r="K265" s="2"/>
      <c r="L265" s="12"/>
      <c r="M265" s="6"/>
    </row>
    <row r="266" spans="1:13" s="8" customFormat="1" ht="45" customHeight="1" thickBot="1" x14ac:dyDescent="0.3">
      <c r="A266" s="3"/>
      <c r="B266" s="7"/>
      <c r="C266" s="2"/>
      <c r="D266" s="10"/>
      <c r="E266" s="7"/>
      <c r="F266" s="7"/>
      <c r="G266" s="7"/>
      <c r="H266" s="4"/>
      <c r="I266" s="4"/>
      <c r="J266" s="2"/>
      <c r="K266" s="2"/>
      <c r="L266" s="12"/>
      <c r="M266" s="6"/>
    </row>
    <row r="267" spans="1:13" s="8" customFormat="1" ht="45" customHeight="1" thickBot="1" x14ac:dyDescent="0.3">
      <c r="A267" s="3"/>
      <c r="B267" s="7"/>
      <c r="C267" s="2"/>
      <c r="D267" s="10"/>
      <c r="E267" s="7"/>
      <c r="F267" s="7"/>
      <c r="G267" s="7"/>
      <c r="H267" s="4"/>
      <c r="I267" s="4"/>
      <c r="J267" s="2"/>
      <c r="K267" s="2"/>
      <c r="L267" s="12"/>
      <c r="M267" s="6"/>
    </row>
    <row r="268" spans="1:13" s="8" customFormat="1" ht="45" customHeight="1" thickBot="1" x14ac:dyDescent="0.3">
      <c r="A268" s="3"/>
      <c r="B268" s="7"/>
      <c r="C268" s="2"/>
      <c r="D268" s="10"/>
      <c r="E268" s="7"/>
      <c r="F268" s="2"/>
      <c r="G268" s="2"/>
      <c r="H268" s="7"/>
      <c r="I268" s="4"/>
      <c r="J268" s="2"/>
      <c r="K268" s="2"/>
      <c r="L268" s="12"/>
      <c r="M268" s="6"/>
    </row>
    <row r="269" spans="1:13" s="8" customFormat="1" ht="45" customHeight="1" thickBot="1" x14ac:dyDescent="0.3">
      <c r="A269" s="3"/>
      <c r="B269" s="7"/>
      <c r="C269" s="2"/>
      <c r="D269" s="10"/>
      <c r="E269" s="7"/>
      <c r="F269" s="2"/>
      <c r="G269" s="2"/>
      <c r="H269" s="7"/>
      <c r="I269" s="4"/>
      <c r="J269" s="2"/>
      <c r="K269" s="2"/>
      <c r="L269" s="12"/>
      <c r="M269" s="6"/>
    </row>
    <row r="270" spans="1:13" s="8" customFormat="1" ht="45" customHeight="1" thickBot="1" x14ac:dyDescent="0.3">
      <c r="A270" s="3"/>
      <c r="B270" s="7"/>
      <c r="C270" s="2"/>
      <c r="D270" s="10"/>
      <c r="E270" s="7"/>
      <c r="F270" s="2"/>
      <c r="G270" s="2"/>
      <c r="H270" s="7"/>
      <c r="I270" s="4"/>
      <c r="J270" s="2"/>
      <c r="K270" s="2"/>
      <c r="L270" s="12"/>
      <c r="M270" s="27"/>
    </row>
    <row r="271" spans="1:13" s="8" customFormat="1" ht="45" customHeight="1" thickBot="1" x14ac:dyDescent="0.3">
      <c r="A271" s="3"/>
      <c r="B271" s="7"/>
      <c r="C271" s="10"/>
      <c r="D271" s="10"/>
      <c r="E271" s="7"/>
      <c r="F271" s="2"/>
      <c r="G271" s="2"/>
      <c r="H271" s="7"/>
      <c r="I271" s="4"/>
      <c r="J271" s="2"/>
      <c r="K271" s="2"/>
      <c r="L271" s="12"/>
      <c r="M271" s="6"/>
    </row>
    <row r="272" spans="1:13" s="8" customFormat="1" ht="45" customHeight="1" thickBot="1" x14ac:dyDescent="0.3">
      <c r="A272" s="3"/>
      <c r="B272" s="7"/>
      <c r="C272" s="10"/>
      <c r="D272" s="2"/>
      <c r="E272" s="7"/>
      <c r="F272" s="2"/>
      <c r="G272" s="2"/>
      <c r="H272" s="7"/>
      <c r="I272" s="4"/>
      <c r="J272" s="2"/>
      <c r="K272" s="2"/>
      <c r="L272" s="12"/>
      <c r="M272" s="6"/>
    </row>
    <row r="273" spans="1:13" s="8" customFormat="1" ht="45" customHeight="1" thickBot="1" x14ac:dyDescent="0.3">
      <c r="A273" s="3"/>
      <c r="B273" s="7"/>
      <c r="C273" s="10"/>
      <c r="D273" s="10"/>
      <c r="E273" s="7"/>
      <c r="F273" s="2"/>
      <c r="G273" s="2"/>
      <c r="H273" s="7"/>
      <c r="I273" s="4"/>
      <c r="J273" s="2"/>
      <c r="K273" s="2"/>
      <c r="L273" s="12"/>
      <c r="M273" s="6"/>
    </row>
    <row r="274" spans="1:13" s="8" customFormat="1" ht="45" customHeight="1" thickBot="1" x14ac:dyDescent="0.3">
      <c r="A274" s="3"/>
      <c r="B274" s="7"/>
      <c r="C274" s="4"/>
      <c r="D274" s="13"/>
      <c r="E274" s="7"/>
      <c r="F274" s="2"/>
      <c r="G274" s="2"/>
      <c r="H274" s="7"/>
      <c r="I274" s="4"/>
      <c r="J274" s="2"/>
      <c r="K274" s="2"/>
      <c r="L274" s="12"/>
      <c r="M274" s="6"/>
    </row>
    <row r="275" spans="1:13" s="8" customFormat="1" ht="45" customHeight="1" thickBot="1" x14ac:dyDescent="0.3">
      <c r="A275" s="3"/>
      <c r="B275" s="7"/>
      <c r="C275" s="4"/>
      <c r="D275" s="13"/>
      <c r="E275" s="7"/>
      <c r="F275" s="2"/>
      <c r="G275" s="2"/>
      <c r="H275" s="7"/>
      <c r="I275" s="4"/>
      <c r="J275" s="2"/>
      <c r="K275" s="2"/>
      <c r="L275" s="12"/>
      <c r="M275" s="6"/>
    </row>
    <row r="276" spans="1:13" s="8" customFormat="1" ht="45" customHeight="1" thickBot="1" x14ac:dyDescent="0.3">
      <c r="A276" s="3"/>
      <c r="B276" s="7"/>
      <c r="C276" s="4"/>
      <c r="D276" s="2"/>
      <c r="E276" s="7"/>
      <c r="F276" s="2"/>
      <c r="G276" s="2"/>
      <c r="H276" s="4"/>
      <c r="I276" s="4"/>
      <c r="J276" s="2"/>
      <c r="K276" s="2"/>
      <c r="L276" s="12"/>
      <c r="M276" s="6"/>
    </row>
    <row r="277" spans="1:13" s="8" customFormat="1" ht="45" customHeight="1" thickBot="1" x14ac:dyDescent="0.3">
      <c r="A277" s="3"/>
      <c r="B277" s="7"/>
      <c r="C277" s="4"/>
      <c r="D277" s="10"/>
      <c r="E277" s="7"/>
      <c r="F277" s="2"/>
      <c r="G277" s="2"/>
      <c r="H277" s="4"/>
      <c r="I277" s="4"/>
      <c r="J277" s="2"/>
      <c r="K277" s="2"/>
      <c r="L277" s="12"/>
      <c r="M277" s="6"/>
    </row>
    <row r="278" spans="1:13" ht="45" customHeight="1" thickBot="1" x14ac:dyDescent="0.3">
      <c r="A278" s="3"/>
      <c r="B278" s="7"/>
      <c r="C278" s="7"/>
      <c r="D278" s="2"/>
      <c r="E278" s="7"/>
      <c r="F278" s="7"/>
      <c r="G278" s="7"/>
      <c r="H278" s="7"/>
      <c r="I278" s="4"/>
      <c r="J278" s="4"/>
      <c r="K278" s="4"/>
      <c r="L278" s="11"/>
      <c r="M278" s="5"/>
    </row>
    <row r="279" spans="1:13" s="8" customFormat="1" ht="45" customHeight="1" thickBot="1" x14ac:dyDescent="0.3">
      <c r="A279" s="3"/>
      <c r="B279" s="7"/>
      <c r="C279" s="4"/>
      <c r="D279" s="2"/>
      <c r="E279" s="7"/>
      <c r="F279" s="2"/>
      <c r="G279" s="2"/>
      <c r="H279" s="7"/>
      <c r="I279" s="4"/>
      <c r="J279" s="2"/>
      <c r="K279" s="2"/>
      <c r="L279" s="12"/>
      <c r="M279" s="6"/>
    </row>
    <row r="280" spans="1:13" ht="45" customHeight="1" thickBot="1" x14ac:dyDescent="0.3">
      <c r="A280" s="3"/>
      <c r="B280" s="7"/>
      <c r="C280" s="4"/>
      <c r="D280" s="2"/>
      <c r="E280" s="7"/>
      <c r="F280" s="2"/>
      <c r="G280" s="2"/>
      <c r="H280" s="7"/>
      <c r="I280" s="4"/>
      <c r="J280" s="4"/>
      <c r="K280" s="4"/>
      <c r="L280" s="11"/>
      <c r="M280" s="5"/>
    </row>
    <row r="281" spans="1:13" ht="45" customHeight="1" thickBot="1" x14ac:dyDescent="0.3">
      <c r="A281" s="3"/>
      <c r="B281" s="7"/>
      <c r="C281" s="4"/>
      <c r="D281" s="2"/>
      <c r="E281" s="7"/>
      <c r="F281" s="2"/>
      <c r="G281" s="2"/>
      <c r="H281" s="7"/>
      <c r="I281" s="4"/>
      <c r="J281" s="4"/>
      <c r="K281" s="4"/>
      <c r="L281" s="11"/>
      <c r="M281" s="5"/>
    </row>
    <row r="282" spans="1:13" ht="45" customHeight="1" thickBot="1" x14ac:dyDescent="0.3">
      <c r="A282" s="3"/>
      <c r="B282" s="7"/>
      <c r="C282" s="4"/>
      <c r="D282" s="2"/>
      <c r="E282" s="7"/>
      <c r="F282" s="2"/>
      <c r="G282" s="2"/>
      <c r="H282" s="7"/>
      <c r="I282" s="4"/>
      <c r="J282" s="4"/>
      <c r="K282" s="4"/>
      <c r="L282" s="11"/>
      <c r="M282" s="5"/>
    </row>
    <row r="283" spans="1:13" ht="45" customHeight="1" thickBot="1" x14ac:dyDescent="0.3">
      <c r="A283" s="3"/>
      <c r="B283" s="7"/>
      <c r="C283" s="4"/>
      <c r="D283" s="2"/>
      <c r="E283" s="7"/>
      <c r="F283" s="2"/>
      <c r="G283" s="2"/>
      <c r="H283" s="7"/>
      <c r="I283" s="4"/>
      <c r="J283" s="4"/>
      <c r="K283" s="4"/>
      <c r="L283" s="11"/>
      <c r="M283" s="5"/>
    </row>
    <row r="284" spans="1:13" ht="45" customHeight="1" thickBot="1" x14ac:dyDescent="0.3">
      <c r="A284" s="3"/>
      <c r="B284" s="7"/>
      <c r="C284" s="4"/>
      <c r="D284" s="2"/>
      <c r="E284" s="7"/>
      <c r="F284" s="2"/>
      <c r="G284" s="2"/>
      <c r="H284" s="7"/>
      <c r="I284" s="4"/>
      <c r="J284" s="4"/>
      <c r="K284" s="4"/>
      <c r="L284" s="11"/>
      <c r="M284" s="5"/>
    </row>
    <row r="285" spans="1:13" ht="45" customHeight="1" thickBot="1" x14ac:dyDescent="0.3">
      <c r="A285" s="3"/>
      <c r="B285" s="7"/>
      <c r="C285" s="4"/>
      <c r="D285" s="2"/>
      <c r="E285" s="7"/>
      <c r="F285" s="2"/>
      <c r="G285" s="2"/>
      <c r="H285" s="7"/>
      <c r="I285" s="4"/>
      <c r="J285" s="4"/>
      <c r="K285" s="4"/>
      <c r="L285" s="11"/>
      <c r="M285" s="5"/>
    </row>
    <row r="286" spans="1:13" ht="45" customHeight="1" thickBot="1" x14ac:dyDescent="0.3">
      <c r="A286" s="3"/>
      <c r="B286" s="7"/>
      <c r="C286" s="4"/>
      <c r="D286" s="2"/>
      <c r="E286" s="7"/>
      <c r="F286" s="2"/>
      <c r="G286" s="2"/>
      <c r="H286" s="7"/>
      <c r="I286" s="4"/>
      <c r="J286" s="4"/>
      <c r="K286" s="4"/>
      <c r="L286" s="11"/>
      <c r="M286" s="5"/>
    </row>
    <row r="287" spans="1:13" s="8" customFormat="1" ht="45" customHeight="1" thickBot="1" x14ac:dyDescent="0.3">
      <c r="A287" s="3"/>
      <c r="B287" s="7"/>
      <c r="C287" s="4"/>
      <c r="D287" s="2"/>
      <c r="E287" s="7"/>
      <c r="F287" s="2"/>
      <c r="G287" s="2"/>
      <c r="H287" s="7"/>
      <c r="I287" s="4"/>
      <c r="J287" s="2"/>
      <c r="K287" s="2"/>
      <c r="L287" s="12"/>
      <c r="M287" s="27"/>
    </row>
    <row r="288" spans="1:13" s="8" customFormat="1" ht="45" customHeight="1" thickBot="1" x14ac:dyDescent="0.3">
      <c r="A288" s="3"/>
      <c r="B288" s="7"/>
      <c r="C288" s="4"/>
      <c r="D288" s="2"/>
      <c r="E288" s="7"/>
      <c r="F288" s="2"/>
      <c r="G288" s="2"/>
      <c r="H288" s="7"/>
      <c r="I288" s="4"/>
      <c r="J288" s="2"/>
      <c r="K288" s="2"/>
      <c r="L288" s="12"/>
      <c r="M288" s="27"/>
    </row>
    <row r="289" spans="1:13" s="8" customFormat="1" ht="45" customHeight="1" thickBot="1" x14ac:dyDescent="0.3">
      <c r="A289" s="3"/>
      <c r="B289" s="7"/>
      <c r="C289" s="4"/>
      <c r="D289" s="2"/>
      <c r="E289" s="7"/>
      <c r="F289" s="2"/>
      <c r="G289" s="2"/>
      <c r="H289" s="7"/>
      <c r="I289" s="4"/>
      <c r="J289" s="2"/>
      <c r="K289" s="2"/>
      <c r="L289" s="12"/>
      <c r="M289" s="27"/>
    </row>
    <row r="290" spans="1:13" s="8" customFormat="1" ht="45" customHeight="1" thickBot="1" x14ac:dyDescent="0.3">
      <c r="A290" s="3"/>
      <c r="B290" s="7"/>
      <c r="C290" s="4"/>
      <c r="D290" s="2"/>
      <c r="E290" s="7"/>
      <c r="F290" s="2"/>
      <c r="G290" s="2"/>
      <c r="H290" s="7"/>
      <c r="I290" s="4"/>
      <c r="J290" s="2"/>
      <c r="K290" s="2"/>
      <c r="L290" s="12"/>
      <c r="M290" s="27"/>
    </row>
    <row r="291" spans="1:13" s="8" customFormat="1" ht="45" customHeight="1" thickBot="1" x14ac:dyDescent="0.3">
      <c r="A291" s="3"/>
      <c r="B291" s="7"/>
      <c r="C291" s="4"/>
      <c r="D291" s="2"/>
      <c r="E291" s="7"/>
      <c r="F291" s="2"/>
      <c r="G291" s="2"/>
      <c r="H291" s="7"/>
      <c r="I291" s="4"/>
      <c r="J291" s="2"/>
      <c r="K291" s="2"/>
      <c r="L291" s="12"/>
      <c r="M291" s="27"/>
    </row>
    <row r="292" spans="1:13" s="8" customFormat="1" ht="45" customHeight="1" thickBot="1" x14ac:dyDescent="0.3">
      <c r="A292" s="3"/>
      <c r="B292" s="7"/>
      <c r="C292" s="4"/>
      <c r="D292" s="2"/>
      <c r="E292" s="7"/>
      <c r="F292" s="2"/>
      <c r="G292" s="2"/>
      <c r="H292" s="7"/>
      <c r="I292" s="4"/>
      <c r="J292" s="2"/>
      <c r="K292" s="2"/>
      <c r="L292" s="12"/>
      <c r="M292" s="27"/>
    </row>
    <row r="293" spans="1:13" s="8" customFormat="1" ht="45" customHeight="1" thickBot="1" x14ac:dyDescent="0.3">
      <c r="A293" s="3"/>
      <c r="B293" s="7"/>
      <c r="C293" s="4"/>
      <c r="D293" s="2"/>
      <c r="E293" s="7"/>
      <c r="F293" s="2"/>
      <c r="G293" s="2"/>
      <c r="H293" s="7"/>
      <c r="I293" s="4"/>
      <c r="J293" s="2"/>
      <c r="K293" s="2"/>
      <c r="L293" s="12"/>
      <c r="M293" s="27"/>
    </row>
    <row r="294" spans="1:13" s="8" customFormat="1" ht="45" customHeight="1" thickBot="1" x14ac:dyDescent="0.3">
      <c r="A294" s="3"/>
      <c r="B294" s="7"/>
      <c r="C294" s="4"/>
      <c r="D294" s="2"/>
      <c r="E294" s="7"/>
      <c r="F294" s="2"/>
      <c r="G294" s="2"/>
      <c r="H294" s="7"/>
      <c r="I294" s="4"/>
      <c r="J294" s="2"/>
      <c r="K294" s="2"/>
      <c r="L294" s="12"/>
      <c r="M294" s="27"/>
    </row>
    <row r="295" spans="1:13" s="8" customFormat="1" ht="45" customHeight="1" thickBot="1" x14ac:dyDescent="0.3">
      <c r="A295" s="3"/>
      <c r="B295" s="7"/>
      <c r="C295" s="2"/>
      <c r="D295" s="15"/>
      <c r="E295" s="7"/>
      <c r="F295" s="2"/>
      <c r="G295" s="2"/>
      <c r="H295" s="2"/>
      <c r="I295" s="4"/>
      <c r="J295" s="2"/>
      <c r="K295" s="2"/>
      <c r="L295" s="12"/>
      <c r="M295" s="6"/>
    </row>
    <row r="296" spans="1:13" ht="45" customHeight="1" thickBot="1" x14ac:dyDescent="0.3">
      <c r="A296" s="3"/>
      <c r="B296" s="7"/>
      <c r="C296" s="4"/>
      <c r="D296" s="2"/>
      <c r="E296" s="7"/>
      <c r="F296" s="2"/>
      <c r="G296" s="2"/>
      <c r="H296" s="7"/>
      <c r="I296" s="4"/>
      <c r="J296" s="4"/>
      <c r="K296" s="4"/>
      <c r="L296" s="11"/>
      <c r="M296" s="44"/>
    </row>
    <row r="297" spans="1:13" ht="45" customHeight="1" thickBot="1" x14ac:dyDescent="0.3">
      <c r="A297" s="3"/>
      <c r="B297" s="7"/>
      <c r="C297" s="4"/>
      <c r="D297" s="2"/>
      <c r="E297" s="7"/>
      <c r="F297" s="2"/>
      <c r="G297" s="2"/>
      <c r="H297" s="7"/>
      <c r="I297" s="4"/>
      <c r="J297" s="4"/>
      <c r="K297" s="4"/>
      <c r="L297" s="11"/>
      <c r="M297" s="44"/>
    </row>
    <row r="298" spans="1:13" s="8" customFormat="1" ht="45" customHeight="1" thickBot="1" x14ac:dyDescent="0.3">
      <c r="A298" s="3"/>
      <c r="B298" s="7"/>
      <c r="C298" s="2"/>
      <c r="D298" s="10"/>
      <c r="E298" s="7"/>
      <c r="F298" s="2"/>
      <c r="G298" s="2"/>
      <c r="H298" s="7"/>
      <c r="I298" s="4"/>
      <c r="J298" s="2"/>
      <c r="K298" s="2"/>
      <c r="L298" s="12"/>
      <c r="M298" s="6"/>
    </row>
    <row r="299" spans="1:13" s="8" customFormat="1" ht="45" customHeight="1" thickBot="1" x14ac:dyDescent="0.3">
      <c r="A299" s="3"/>
      <c r="B299" s="7"/>
      <c r="C299" s="2"/>
      <c r="D299" s="10"/>
      <c r="E299" s="7"/>
      <c r="F299" s="2"/>
      <c r="G299" s="2"/>
      <c r="H299" s="7"/>
      <c r="I299" s="4"/>
      <c r="J299" s="2"/>
      <c r="K299" s="2"/>
      <c r="L299" s="12"/>
      <c r="M299" s="27"/>
    </row>
    <row r="300" spans="1:13" s="8" customFormat="1" ht="45" customHeight="1" thickBot="1" x14ac:dyDescent="0.3">
      <c r="A300" s="3"/>
      <c r="B300" s="7"/>
      <c r="C300" s="2"/>
      <c r="D300" s="10"/>
      <c r="E300" s="7"/>
      <c r="F300" s="2"/>
      <c r="G300" s="2"/>
      <c r="H300" s="7"/>
      <c r="I300" s="4"/>
      <c r="J300" s="2"/>
      <c r="K300" s="2"/>
      <c r="L300" s="12"/>
      <c r="M300" s="6"/>
    </row>
    <row r="301" spans="1:13" s="8" customFormat="1" ht="45" customHeight="1" thickBot="1" x14ac:dyDescent="0.3">
      <c r="A301" s="3"/>
      <c r="B301" s="7"/>
      <c r="C301" s="4"/>
      <c r="D301" s="2"/>
      <c r="E301" s="7"/>
      <c r="F301" s="2"/>
      <c r="G301" s="2"/>
      <c r="H301" s="7"/>
      <c r="I301" s="4"/>
      <c r="J301" s="2"/>
      <c r="K301" s="2"/>
      <c r="L301" s="12"/>
      <c r="M301" s="6"/>
    </row>
    <row r="302" spans="1:13" s="8" customFormat="1" ht="45" customHeight="1" thickBot="1" x14ac:dyDescent="0.3">
      <c r="A302" s="3"/>
      <c r="B302" s="7"/>
      <c r="C302" s="4"/>
      <c r="D302" s="13"/>
      <c r="E302" s="7"/>
      <c r="F302" s="2"/>
      <c r="G302" s="2"/>
      <c r="H302" s="7"/>
      <c r="I302" s="4"/>
      <c r="J302" s="2"/>
      <c r="K302" s="2"/>
      <c r="L302" s="12"/>
      <c r="M302" s="6"/>
    </row>
    <row r="303" spans="1:13" ht="45" customHeight="1" thickBot="1" x14ac:dyDescent="0.3">
      <c r="A303" s="3"/>
      <c r="B303" s="7"/>
      <c r="C303" s="4"/>
      <c r="D303" s="2"/>
      <c r="E303" s="7"/>
      <c r="F303" s="2"/>
      <c r="G303" s="2"/>
      <c r="H303" s="7"/>
      <c r="I303" s="4"/>
      <c r="J303" s="4"/>
      <c r="K303" s="4"/>
      <c r="L303" s="11"/>
      <c r="M303" s="44"/>
    </row>
    <row r="304" spans="1:13" s="8" customFormat="1" ht="45" customHeight="1" thickBot="1" x14ac:dyDescent="0.3">
      <c r="A304" s="3"/>
      <c r="B304" s="7"/>
      <c r="C304" s="4"/>
      <c r="D304" s="13"/>
      <c r="E304" s="7"/>
      <c r="F304" s="2"/>
      <c r="G304" s="2"/>
      <c r="H304" s="7"/>
      <c r="I304" s="4"/>
      <c r="J304" s="2"/>
      <c r="K304" s="2"/>
      <c r="L304" s="12"/>
      <c r="M304" s="6"/>
    </row>
    <row r="305" spans="1:13" s="8" customFormat="1" ht="45" customHeight="1" thickBot="1" x14ac:dyDescent="0.3">
      <c r="A305" s="3"/>
      <c r="B305" s="7"/>
      <c r="C305" s="4"/>
      <c r="D305" s="13"/>
      <c r="E305" s="7"/>
      <c r="F305" s="2"/>
      <c r="G305" s="2"/>
      <c r="H305" s="7"/>
      <c r="I305" s="4"/>
      <c r="J305" s="2"/>
      <c r="K305" s="2"/>
      <c r="L305" s="12"/>
      <c r="M305" s="6"/>
    </row>
    <row r="306" spans="1:13" s="8" customFormat="1" ht="45" customHeight="1" thickBot="1" x14ac:dyDescent="0.3">
      <c r="A306" s="3"/>
      <c r="B306" s="7"/>
      <c r="C306" s="4"/>
      <c r="D306" s="10"/>
      <c r="E306" s="7"/>
      <c r="F306" s="2"/>
      <c r="G306" s="2"/>
      <c r="H306" s="7"/>
      <c r="I306" s="4"/>
      <c r="J306" s="2"/>
      <c r="K306" s="2"/>
      <c r="L306" s="12"/>
      <c r="M306" s="6"/>
    </row>
    <row r="307" spans="1:13" s="8" customFormat="1" ht="45" customHeight="1" thickBot="1" x14ac:dyDescent="0.3">
      <c r="A307" s="3"/>
      <c r="B307" s="7"/>
      <c r="C307" s="4"/>
      <c r="D307" s="13"/>
      <c r="E307" s="7"/>
      <c r="F307" s="2"/>
      <c r="G307" s="2"/>
      <c r="H307" s="7"/>
      <c r="I307" s="4"/>
      <c r="J307" s="2"/>
      <c r="K307" s="2"/>
      <c r="L307" s="12"/>
      <c r="M307" s="6"/>
    </row>
    <row r="308" spans="1:13" s="8" customFormat="1" ht="45" customHeight="1" thickBot="1" x14ac:dyDescent="0.3">
      <c r="A308" s="3"/>
      <c r="B308" s="7"/>
      <c r="C308" s="4"/>
      <c r="D308" s="13"/>
      <c r="E308" s="7"/>
      <c r="F308" s="2"/>
      <c r="G308" s="2"/>
      <c r="H308" s="7"/>
      <c r="I308" s="4"/>
      <c r="J308" s="2"/>
      <c r="K308" s="2"/>
      <c r="L308" s="12"/>
      <c r="M308" s="6"/>
    </row>
    <row r="309" spans="1:13" s="8" customFormat="1" ht="45" customHeight="1" thickBot="1" x14ac:dyDescent="0.3">
      <c r="A309" s="3"/>
      <c r="B309" s="7"/>
      <c r="C309" s="4"/>
      <c r="D309" s="13"/>
      <c r="E309" s="7"/>
      <c r="F309" s="2"/>
      <c r="G309" s="2"/>
      <c r="H309" s="7"/>
      <c r="I309" s="4"/>
      <c r="J309" s="2"/>
      <c r="K309" s="2"/>
      <c r="L309" s="12"/>
      <c r="M309" s="6"/>
    </row>
    <row r="310" spans="1:13" s="8" customFormat="1" ht="45" customHeight="1" thickBot="1" x14ac:dyDescent="0.3">
      <c r="A310" s="3"/>
      <c r="B310" s="7"/>
      <c r="C310" s="4"/>
      <c r="D310" s="2"/>
      <c r="E310" s="7"/>
      <c r="F310" s="2"/>
      <c r="G310" s="2"/>
      <c r="H310" s="7"/>
      <c r="I310" s="4"/>
      <c r="J310" s="2"/>
      <c r="K310" s="2"/>
      <c r="L310" s="12"/>
      <c r="M310" s="27"/>
    </row>
    <row r="311" spans="1:13" s="8" customFormat="1" ht="45" customHeight="1" thickBot="1" x14ac:dyDescent="0.3">
      <c r="A311" s="3"/>
      <c r="B311" s="7"/>
      <c r="C311" s="2"/>
      <c r="D311" s="10"/>
      <c r="E311" s="7"/>
      <c r="F311" s="2"/>
      <c r="G311" s="2"/>
      <c r="H311" s="7"/>
      <c r="I311" s="4"/>
      <c r="J311" s="2"/>
      <c r="K311" s="2"/>
      <c r="L311" s="12"/>
      <c r="M311" s="6"/>
    </row>
    <row r="312" spans="1:13" s="8" customFormat="1" ht="45" customHeight="1" thickBot="1" x14ac:dyDescent="0.3">
      <c r="A312" s="3"/>
      <c r="B312" s="7"/>
      <c r="C312" s="2"/>
      <c r="D312" s="10"/>
      <c r="E312" s="7"/>
      <c r="F312" s="2"/>
      <c r="G312" s="2"/>
      <c r="H312" s="7"/>
      <c r="I312" s="4"/>
      <c r="J312" s="2"/>
      <c r="K312" s="2"/>
      <c r="L312" s="12"/>
      <c r="M312" s="6"/>
    </row>
    <row r="313" spans="1:13" s="8" customFormat="1" ht="45" customHeight="1" thickBot="1" x14ac:dyDescent="0.3">
      <c r="A313" s="3"/>
      <c r="B313" s="7"/>
      <c r="C313" s="2"/>
      <c r="D313" s="10"/>
      <c r="E313" s="7"/>
      <c r="F313" s="2"/>
      <c r="G313" s="2"/>
      <c r="H313" s="7"/>
      <c r="I313" s="4"/>
      <c r="J313" s="2"/>
      <c r="K313" s="2"/>
      <c r="L313" s="12"/>
      <c r="M313" s="6"/>
    </row>
    <row r="314" spans="1:13" s="8" customFormat="1" ht="45" customHeight="1" thickBot="1" x14ac:dyDescent="0.3">
      <c r="A314" s="3"/>
      <c r="B314" s="7"/>
      <c r="C314" s="2"/>
      <c r="D314" s="10"/>
      <c r="E314" s="7"/>
      <c r="F314" s="2"/>
      <c r="G314" s="2"/>
      <c r="H314" s="7"/>
      <c r="I314" s="4"/>
      <c r="J314" s="2"/>
      <c r="K314" s="2"/>
      <c r="L314" s="12"/>
      <c r="M314" s="6"/>
    </row>
    <row r="315" spans="1:13" s="8" customFormat="1" ht="45" customHeight="1" thickBot="1" x14ac:dyDescent="0.3">
      <c r="A315" s="3"/>
      <c r="B315" s="7"/>
      <c r="C315" s="2"/>
      <c r="D315" s="10"/>
      <c r="E315" s="7"/>
      <c r="F315" s="2"/>
      <c r="G315" s="2"/>
      <c r="H315" s="7"/>
      <c r="I315" s="4"/>
      <c r="J315" s="2"/>
      <c r="K315" s="2"/>
      <c r="L315" s="12"/>
      <c r="M315" s="6"/>
    </row>
    <row r="316" spans="1:13" s="8" customFormat="1" ht="45" customHeight="1" thickBot="1" x14ac:dyDescent="0.3">
      <c r="A316" s="3"/>
      <c r="B316" s="7"/>
      <c r="C316" s="2"/>
      <c r="D316" s="10"/>
      <c r="E316" s="7"/>
      <c r="F316" s="2"/>
      <c r="G316" s="2"/>
      <c r="H316" s="7"/>
      <c r="I316" s="4"/>
      <c r="J316" s="2"/>
      <c r="K316" s="2"/>
      <c r="L316" s="12"/>
      <c r="M316" s="6"/>
    </row>
    <row r="317" spans="1:13" s="8" customFormat="1" ht="45" customHeight="1" thickBot="1" x14ac:dyDescent="0.3">
      <c r="A317" s="3"/>
      <c r="B317" s="7"/>
      <c r="C317" s="2"/>
      <c r="D317" s="10"/>
      <c r="E317" s="7"/>
      <c r="F317" s="2"/>
      <c r="G317" s="2"/>
      <c r="H317" s="7"/>
      <c r="I317" s="4"/>
      <c r="J317" s="2"/>
      <c r="K317" s="2"/>
      <c r="L317" s="12"/>
      <c r="M317" s="6"/>
    </row>
    <row r="318" spans="1:13" s="8" customFormat="1" ht="45" customHeight="1" thickBot="1" x14ac:dyDescent="0.3">
      <c r="A318" s="3"/>
      <c r="B318" s="7"/>
      <c r="C318" s="2"/>
      <c r="D318" s="10"/>
      <c r="E318" s="7"/>
      <c r="F318" s="2"/>
      <c r="G318" s="2"/>
      <c r="H318" s="7"/>
      <c r="I318" s="4"/>
      <c r="J318" s="2"/>
      <c r="K318" s="2"/>
      <c r="L318" s="12"/>
      <c r="M318" s="6"/>
    </row>
    <row r="319" spans="1:13" s="8" customFormat="1" ht="45" customHeight="1" thickBot="1" x14ac:dyDescent="0.3">
      <c r="A319" s="3"/>
      <c r="B319" s="7"/>
      <c r="C319" s="2"/>
      <c r="D319" s="10"/>
      <c r="E319" s="7"/>
      <c r="F319" s="2"/>
      <c r="G319" s="2"/>
      <c r="H319" s="7"/>
      <c r="I319" s="4"/>
      <c r="J319" s="2"/>
      <c r="K319" s="2"/>
      <c r="L319" s="12"/>
      <c r="M319" s="6"/>
    </row>
    <row r="320" spans="1:13" s="8" customFormat="1" ht="45" customHeight="1" thickBot="1" x14ac:dyDescent="0.3">
      <c r="A320" s="3"/>
      <c r="B320" s="7"/>
      <c r="C320" s="2"/>
      <c r="D320" s="10"/>
      <c r="E320" s="7"/>
      <c r="F320" s="2"/>
      <c r="G320" s="2"/>
      <c r="H320" s="7"/>
      <c r="I320" s="4"/>
      <c r="J320" s="2"/>
      <c r="K320" s="2"/>
      <c r="L320" s="12"/>
      <c r="M320" s="6"/>
    </row>
    <row r="321" spans="1:13" s="8" customFormat="1" ht="45" customHeight="1" thickBot="1" x14ac:dyDescent="0.3">
      <c r="A321" s="3"/>
      <c r="B321" s="7"/>
      <c r="C321" s="2"/>
      <c r="D321" s="10"/>
      <c r="E321" s="7"/>
      <c r="F321" s="2"/>
      <c r="G321" s="2"/>
      <c r="H321" s="7"/>
      <c r="I321" s="4"/>
      <c r="J321" s="2"/>
      <c r="K321" s="2"/>
      <c r="L321" s="12"/>
      <c r="M321" s="6"/>
    </row>
    <row r="322" spans="1:13" s="8" customFormat="1" ht="45" customHeight="1" thickBot="1" x14ac:dyDescent="0.3">
      <c r="A322" s="3"/>
      <c r="B322" s="7"/>
      <c r="C322" s="2"/>
      <c r="D322" s="10"/>
      <c r="E322" s="7"/>
      <c r="F322" s="2"/>
      <c r="G322" s="2"/>
      <c r="H322" s="7"/>
      <c r="I322" s="4"/>
      <c r="J322" s="2"/>
      <c r="K322" s="2"/>
      <c r="L322" s="12"/>
      <c r="M322" s="6"/>
    </row>
    <row r="323" spans="1:13" s="8" customFormat="1" ht="45" customHeight="1" thickBot="1" x14ac:dyDescent="0.3">
      <c r="A323" s="3"/>
      <c r="B323" s="7"/>
      <c r="C323" s="2"/>
      <c r="D323" s="10"/>
      <c r="E323" s="7"/>
      <c r="F323" s="2"/>
      <c r="G323" s="2"/>
      <c r="H323" s="7"/>
      <c r="I323" s="4"/>
      <c r="J323" s="2"/>
      <c r="K323" s="2"/>
      <c r="L323" s="12"/>
      <c r="M323" s="6"/>
    </row>
    <row r="324" spans="1:13" s="8" customFormat="1" ht="45" customHeight="1" thickBot="1" x14ac:dyDescent="0.3">
      <c r="A324" s="3"/>
      <c r="B324" s="7"/>
      <c r="C324" s="2"/>
      <c r="D324" s="10"/>
      <c r="E324" s="7"/>
      <c r="F324" s="2"/>
      <c r="G324" s="2"/>
      <c r="H324" s="7"/>
      <c r="I324" s="4"/>
      <c r="J324" s="2"/>
      <c r="K324" s="2"/>
      <c r="L324" s="12"/>
      <c r="M324" s="6"/>
    </row>
    <row r="325" spans="1:13" s="8" customFormat="1" ht="45" customHeight="1" thickBot="1" x14ac:dyDescent="0.3">
      <c r="A325" s="3"/>
      <c r="B325" s="7"/>
      <c r="C325" s="2"/>
      <c r="D325" s="10"/>
      <c r="E325" s="7"/>
      <c r="F325" s="2"/>
      <c r="G325" s="2"/>
      <c r="H325" s="7"/>
      <c r="I325" s="4"/>
      <c r="J325" s="2"/>
      <c r="K325" s="2"/>
      <c r="L325" s="12"/>
      <c r="M325" s="6"/>
    </row>
    <row r="326" spans="1:13" s="8" customFormat="1" ht="45" customHeight="1" thickBot="1" x14ac:dyDescent="0.3">
      <c r="A326" s="3"/>
      <c r="B326" s="7"/>
      <c r="C326" s="2"/>
      <c r="D326" s="10"/>
      <c r="E326" s="7"/>
      <c r="F326" s="2"/>
      <c r="G326" s="2"/>
      <c r="H326" s="7"/>
      <c r="I326" s="4"/>
      <c r="J326" s="2"/>
      <c r="K326" s="2"/>
      <c r="L326" s="12"/>
      <c r="M326" s="6"/>
    </row>
    <row r="327" spans="1:13" s="8" customFormat="1" ht="45" customHeight="1" thickBot="1" x14ac:dyDescent="0.3">
      <c r="A327" s="3"/>
      <c r="B327" s="7"/>
      <c r="C327" s="2"/>
      <c r="D327" s="10"/>
      <c r="E327" s="7"/>
      <c r="F327" s="2"/>
      <c r="G327" s="2"/>
      <c r="H327" s="7"/>
      <c r="I327" s="4"/>
      <c r="J327" s="2"/>
      <c r="K327" s="2"/>
      <c r="L327" s="12"/>
      <c r="M327" s="6"/>
    </row>
    <row r="328" spans="1:13" s="8" customFormat="1" ht="45" customHeight="1" thickBot="1" x14ac:dyDescent="0.3">
      <c r="A328" s="3"/>
      <c r="B328" s="7"/>
      <c r="C328" s="2"/>
      <c r="D328" s="10"/>
      <c r="E328" s="7"/>
      <c r="F328" s="2"/>
      <c r="G328" s="2"/>
      <c r="H328" s="7"/>
      <c r="I328" s="4"/>
      <c r="J328" s="2"/>
      <c r="K328" s="2"/>
      <c r="L328" s="12"/>
      <c r="M328" s="6"/>
    </row>
    <row r="329" spans="1:13" s="8" customFormat="1" ht="45" customHeight="1" thickBot="1" x14ac:dyDescent="0.3">
      <c r="A329" s="3"/>
      <c r="B329" s="7"/>
      <c r="C329" s="2"/>
      <c r="D329" s="10"/>
      <c r="E329" s="7"/>
      <c r="F329" s="2"/>
      <c r="G329" s="2"/>
      <c r="H329" s="7"/>
      <c r="I329" s="4"/>
      <c r="J329" s="2"/>
      <c r="K329" s="2"/>
      <c r="L329" s="12"/>
      <c r="M329" s="6"/>
    </row>
    <row r="330" spans="1:13" s="8" customFormat="1" ht="45" customHeight="1" thickBot="1" x14ac:dyDescent="0.3">
      <c r="A330" s="3"/>
      <c r="B330" s="7"/>
      <c r="C330" s="2"/>
      <c r="D330" s="10"/>
      <c r="E330" s="7"/>
      <c r="F330" s="2"/>
      <c r="G330" s="2"/>
      <c r="H330" s="7"/>
      <c r="I330" s="4"/>
      <c r="J330" s="2"/>
      <c r="K330" s="2"/>
      <c r="L330" s="12"/>
      <c r="M330" s="6"/>
    </row>
    <row r="331" spans="1:13" s="8" customFormat="1" ht="45" customHeight="1" thickBot="1" x14ac:dyDescent="0.3">
      <c r="A331" s="3"/>
      <c r="B331" s="7"/>
      <c r="C331" s="2"/>
      <c r="D331" s="10"/>
      <c r="E331" s="7"/>
      <c r="F331" s="2"/>
      <c r="G331" s="2"/>
      <c r="H331" s="7"/>
      <c r="I331" s="4"/>
      <c r="J331" s="2"/>
      <c r="K331" s="2"/>
      <c r="L331" s="12"/>
      <c r="M331" s="6"/>
    </row>
    <row r="332" spans="1:13" s="8" customFormat="1" ht="45" customHeight="1" thickBot="1" x14ac:dyDescent="0.3">
      <c r="A332" s="3"/>
      <c r="B332" s="7"/>
      <c r="C332" s="2"/>
      <c r="D332" s="10"/>
      <c r="E332" s="7"/>
      <c r="F332" s="2"/>
      <c r="G332" s="2"/>
      <c r="H332" s="7"/>
      <c r="I332" s="4"/>
      <c r="J332" s="2"/>
      <c r="K332" s="2"/>
      <c r="L332" s="12"/>
      <c r="M332" s="6"/>
    </row>
    <row r="333" spans="1:13" ht="45" customHeight="1" thickBot="1" x14ac:dyDescent="0.3">
      <c r="A333" s="3"/>
      <c r="B333" s="7"/>
      <c r="C333" s="2"/>
      <c r="D333" s="10"/>
      <c r="E333" s="7"/>
      <c r="F333" s="2"/>
      <c r="G333" s="2"/>
      <c r="H333" s="7"/>
      <c r="I333" s="4"/>
      <c r="J333" s="2"/>
      <c r="K333" s="4"/>
      <c r="L333" s="11"/>
      <c r="M333" s="6"/>
    </row>
    <row r="334" spans="1:13" ht="45" customHeight="1" thickBot="1" x14ac:dyDescent="0.3">
      <c r="A334" s="3"/>
      <c r="B334" s="7"/>
      <c r="C334" s="2"/>
      <c r="D334" s="10"/>
      <c r="E334" s="7"/>
      <c r="F334" s="2"/>
      <c r="G334" s="2"/>
      <c r="H334" s="7"/>
      <c r="I334" s="4"/>
      <c r="J334" s="2"/>
      <c r="K334" s="4"/>
      <c r="L334" s="11"/>
      <c r="M334" s="6"/>
    </row>
    <row r="335" spans="1:13" ht="45" customHeight="1" thickBot="1" x14ac:dyDescent="0.3">
      <c r="A335" s="3"/>
      <c r="B335" s="7"/>
      <c r="C335" s="2"/>
      <c r="D335" s="10"/>
      <c r="E335" s="7"/>
      <c r="F335" s="2"/>
      <c r="G335" s="2"/>
      <c r="H335" s="7"/>
      <c r="I335" s="4"/>
      <c r="J335" s="2"/>
      <c r="K335" s="4"/>
      <c r="L335" s="11"/>
      <c r="M335" s="6"/>
    </row>
    <row r="336" spans="1:13" ht="45" customHeight="1" thickBot="1" x14ac:dyDescent="0.3">
      <c r="A336" s="3"/>
      <c r="B336" s="7"/>
      <c r="C336" s="2"/>
      <c r="D336" s="10"/>
      <c r="E336" s="7"/>
      <c r="F336" s="2"/>
      <c r="G336" s="2"/>
      <c r="H336" s="7"/>
      <c r="I336" s="4"/>
      <c r="J336" s="2"/>
      <c r="K336" s="4"/>
      <c r="L336" s="11"/>
      <c r="M336" s="6"/>
    </row>
    <row r="337" spans="1:13" ht="45" customHeight="1" thickBot="1" x14ac:dyDescent="0.3">
      <c r="A337" s="3"/>
      <c r="B337" s="7"/>
      <c r="C337" s="2"/>
      <c r="D337" s="10"/>
      <c r="E337" s="7"/>
      <c r="F337" s="2"/>
      <c r="G337" s="2"/>
      <c r="H337" s="7"/>
      <c r="I337" s="4"/>
      <c r="J337" s="2"/>
      <c r="K337" s="4"/>
      <c r="L337" s="11"/>
      <c r="M337" s="6"/>
    </row>
    <row r="338" spans="1:13" ht="45" customHeight="1" thickBot="1" x14ac:dyDescent="0.3">
      <c r="A338" s="3"/>
      <c r="B338" s="7"/>
      <c r="C338" s="2"/>
      <c r="D338" s="10"/>
      <c r="E338" s="7"/>
      <c r="F338" s="2"/>
      <c r="G338" s="2"/>
      <c r="H338" s="7"/>
      <c r="I338" s="4"/>
      <c r="J338" s="2"/>
      <c r="K338" s="4"/>
      <c r="L338" s="11"/>
      <c r="M338" s="6"/>
    </row>
    <row r="339" spans="1:13" ht="45" customHeight="1" thickBot="1" x14ac:dyDescent="0.3">
      <c r="A339" s="3"/>
      <c r="B339" s="7"/>
      <c r="C339" s="2"/>
      <c r="D339" s="10"/>
      <c r="E339" s="7"/>
      <c r="F339" s="2"/>
      <c r="G339" s="2"/>
      <c r="H339" s="7"/>
      <c r="I339" s="4"/>
      <c r="J339" s="2"/>
      <c r="K339" s="4"/>
      <c r="L339" s="11"/>
      <c r="M339" s="6"/>
    </row>
    <row r="340" spans="1:13" ht="45" customHeight="1" thickBot="1" x14ac:dyDescent="0.3">
      <c r="A340" s="3"/>
      <c r="B340" s="7"/>
      <c r="C340" s="2"/>
      <c r="D340" s="10"/>
      <c r="E340" s="7"/>
      <c r="F340" s="2"/>
      <c r="G340" s="2"/>
      <c r="H340" s="7"/>
      <c r="I340" s="4"/>
      <c r="J340" s="2"/>
      <c r="K340" s="4"/>
      <c r="L340" s="11"/>
      <c r="M340" s="6"/>
    </row>
    <row r="341" spans="1:13" ht="45" customHeight="1" thickBot="1" x14ac:dyDescent="0.3">
      <c r="A341" s="3"/>
      <c r="B341" s="7"/>
      <c r="C341" s="2"/>
      <c r="D341" s="10"/>
      <c r="E341" s="7"/>
      <c r="F341" s="2"/>
      <c r="G341" s="2"/>
      <c r="H341" s="7"/>
      <c r="I341" s="4"/>
      <c r="J341" s="2"/>
      <c r="K341" s="4"/>
      <c r="L341" s="11"/>
      <c r="M341" s="6"/>
    </row>
    <row r="342" spans="1:13" ht="45" customHeight="1" thickBot="1" x14ac:dyDescent="0.3">
      <c r="A342" s="3"/>
      <c r="B342" s="7"/>
      <c r="C342" s="2"/>
      <c r="D342" s="10"/>
      <c r="E342" s="7"/>
      <c r="F342" s="2"/>
      <c r="G342" s="2"/>
      <c r="H342" s="7"/>
      <c r="I342" s="4"/>
      <c r="J342" s="2"/>
      <c r="K342" s="4"/>
      <c r="L342" s="11"/>
      <c r="M342" s="6"/>
    </row>
    <row r="343" spans="1:13" ht="45" customHeight="1" thickBot="1" x14ac:dyDescent="0.3">
      <c r="A343" s="3"/>
      <c r="B343" s="7"/>
      <c r="C343" s="2"/>
      <c r="D343" s="10"/>
      <c r="E343" s="7"/>
      <c r="F343" s="2"/>
      <c r="G343" s="2"/>
      <c r="H343" s="7"/>
      <c r="I343" s="4"/>
      <c r="J343" s="2"/>
      <c r="K343" s="4"/>
      <c r="L343" s="11"/>
      <c r="M343" s="6"/>
    </row>
    <row r="344" spans="1:13" ht="45" customHeight="1" thickBot="1" x14ac:dyDescent="0.3">
      <c r="A344" s="3"/>
      <c r="B344" s="7"/>
      <c r="C344" s="2"/>
      <c r="D344" s="10"/>
      <c r="E344" s="7"/>
      <c r="F344" s="2"/>
      <c r="G344" s="2"/>
      <c r="H344" s="7"/>
      <c r="I344" s="4"/>
      <c r="J344" s="2"/>
      <c r="K344" s="4"/>
      <c r="L344" s="11"/>
      <c r="M344" s="6"/>
    </row>
    <row r="345" spans="1:13" ht="45" customHeight="1" thickBot="1" x14ac:dyDescent="0.3">
      <c r="A345" s="3"/>
      <c r="B345" s="7"/>
      <c r="C345" s="2"/>
      <c r="D345" s="2"/>
      <c r="E345" s="7"/>
      <c r="F345" s="2"/>
      <c r="G345" s="2"/>
      <c r="H345" s="7"/>
      <c r="I345" s="4"/>
      <c r="J345" s="2"/>
      <c r="K345" s="4"/>
      <c r="L345" s="11"/>
      <c r="M345" s="6"/>
    </row>
    <row r="346" spans="1:13" ht="45" customHeight="1" thickBot="1" x14ac:dyDescent="0.3">
      <c r="A346" s="3"/>
      <c r="B346" s="7"/>
      <c r="C346" s="2"/>
      <c r="D346" s="2"/>
      <c r="E346" s="7"/>
      <c r="F346" s="2"/>
      <c r="G346" s="2"/>
      <c r="H346" s="7"/>
      <c r="I346" s="4"/>
      <c r="J346" s="2"/>
      <c r="K346" s="4"/>
      <c r="L346" s="11"/>
      <c r="M346" s="6"/>
    </row>
    <row r="347" spans="1:13" ht="45" customHeight="1" thickBot="1" x14ac:dyDescent="0.3">
      <c r="A347" s="3"/>
      <c r="B347" s="7"/>
      <c r="C347" s="7"/>
      <c r="D347" s="14"/>
      <c r="E347" s="7"/>
      <c r="F347" s="2"/>
      <c r="G347" s="2"/>
      <c r="H347" s="7"/>
      <c r="I347" s="4"/>
      <c r="J347" s="4"/>
      <c r="K347" s="4"/>
      <c r="L347" s="11"/>
      <c r="M347" s="5"/>
    </row>
    <row r="348" spans="1:13" ht="45" customHeight="1" thickBot="1" x14ac:dyDescent="0.3">
      <c r="A348" s="3"/>
      <c r="B348" s="7"/>
      <c r="C348" s="7"/>
      <c r="D348" s="14"/>
      <c r="E348" s="7"/>
      <c r="F348" s="2"/>
      <c r="G348" s="2"/>
      <c r="H348" s="7"/>
      <c r="I348" s="4"/>
      <c r="J348" s="4"/>
      <c r="K348" s="4"/>
      <c r="L348" s="11"/>
      <c r="M348" s="5"/>
    </row>
    <row r="349" spans="1:13" ht="45" customHeight="1" thickBot="1" x14ac:dyDescent="0.3">
      <c r="A349" s="3"/>
      <c r="B349" s="7"/>
      <c r="C349" s="2"/>
      <c r="D349" s="14"/>
      <c r="E349" s="7"/>
      <c r="F349" s="2"/>
      <c r="G349" s="2"/>
      <c r="H349" s="7"/>
      <c r="I349" s="4"/>
      <c r="J349" s="4"/>
      <c r="K349" s="4"/>
      <c r="L349" s="11"/>
      <c r="M349" s="5"/>
    </row>
    <row r="350" spans="1:13" s="8" customFormat="1" ht="45" customHeight="1" thickBot="1" x14ac:dyDescent="0.3">
      <c r="A350" s="3"/>
      <c r="B350" s="7"/>
      <c r="C350" s="4"/>
      <c r="D350" s="2"/>
      <c r="E350" s="7"/>
      <c r="F350" s="2"/>
      <c r="G350" s="2"/>
      <c r="H350" s="7"/>
      <c r="I350" s="4"/>
      <c r="J350" s="2"/>
      <c r="K350" s="2"/>
      <c r="L350" s="12"/>
      <c r="M350" s="6"/>
    </row>
    <row r="351" spans="1:13" s="8" customFormat="1" ht="45" customHeight="1" thickBot="1" x14ac:dyDescent="0.3">
      <c r="A351" s="3"/>
      <c r="B351" s="7"/>
      <c r="C351" s="4"/>
      <c r="D351" s="2"/>
      <c r="E351" s="7"/>
      <c r="F351" s="2"/>
      <c r="G351" s="2"/>
      <c r="H351" s="7"/>
      <c r="I351" s="4"/>
      <c r="J351" s="2"/>
      <c r="K351" s="2"/>
      <c r="L351" s="12"/>
      <c r="M351" s="6"/>
    </row>
    <row r="352" spans="1:13" s="8" customFormat="1" ht="45" customHeight="1" thickBot="1" x14ac:dyDescent="0.3">
      <c r="A352" s="3"/>
      <c r="B352" s="7"/>
      <c r="C352" s="4"/>
      <c r="D352" s="2"/>
      <c r="E352" s="7"/>
      <c r="F352" s="2"/>
      <c r="G352" s="2"/>
      <c r="H352" s="7"/>
      <c r="I352" s="4"/>
      <c r="J352" s="2"/>
      <c r="K352" s="2"/>
      <c r="L352" s="12"/>
      <c r="M352" s="6"/>
    </row>
    <row r="353" spans="1:13" s="8" customFormat="1" ht="45" customHeight="1" thickBot="1" x14ac:dyDescent="0.3">
      <c r="A353" s="3"/>
      <c r="B353" s="7"/>
      <c r="C353" s="4"/>
      <c r="D353" s="2"/>
      <c r="E353" s="7"/>
      <c r="F353" s="2"/>
      <c r="G353" s="2"/>
      <c r="H353" s="7"/>
      <c r="I353" s="4"/>
      <c r="J353" s="2"/>
      <c r="K353" s="2"/>
      <c r="L353" s="12"/>
      <c r="M353" s="6"/>
    </row>
    <row r="354" spans="1:13" ht="45" customHeight="1" thickBot="1" x14ac:dyDescent="0.3">
      <c r="A354" s="3"/>
      <c r="B354" s="7"/>
      <c r="C354" s="4"/>
      <c r="D354" s="14"/>
      <c r="E354" s="7"/>
      <c r="F354" s="2"/>
      <c r="G354" s="2"/>
      <c r="H354" s="7"/>
      <c r="I354" s="4"/>
      <c r="J354" s="4"/>
      <c r="K354" s="4"/>
      <c r="L354" s="11"/>
      <c r="M354" s="5"/>
    </row>
    <row r="355" spans="1:13" ht="45" customHeight="1" thickBot="1" x14ac:dyDescent="0.3">
      <c r="A355" s="3"/>
      <c r="B355" s="7"/>
      <c r="C355" s="4"/>
      <c r="D355" s="14"/>
      <c r="E355" s="7"/>
      <c r="F355" s="2"/>
      <c r="G355" s="2"/>
      <c r="H355" s="7"/>
      <c r="I355" s="4"/>
      <c r="J355" s="4"/>
      <c r="K355" s="4"/>
      <c r="L355" s="11"/>
      <c r="M355" s="5"/>
    </row>
    <row r="356" spans="1:13" ht="45" customHeight="1" thickBot="1" x14ac:dyDescent="0.3">
      <c r="A356" s="3"/>
      <c r="B356" s="7"/>
      <c r="C356" s="4"/>
      <c r="D356" s="14"/>
      <c r="E356" s="7"/>
      <c r="F356" s="2"/>
      <c r="G356" s="2"/>
      <c r="H356" s="7"/>
      <c r="I356" s="4"/>
      <c r="J356" s="4"/>
      <c r="K356" s="4"/>
      <c r="L356" s="11"/>
      <c r="M356" s="5"/>
    </row>
    <row r="357" spans="1:13" ht="45" customHeight="1" thickBot="1" x14ac:dyDescent="0.3">
      <c r="A357" s="3"/>
      <c r="B357" s="7"/>
      <c r="C357" s="4"/>
      <c r="D357" s="14"/>
      <c r="E357" s="7"/>
      <c r="F357" s="2"/>
      <c r="G357" s="2"/>
      <c r="H357" s="7"/>
      <c r="I357" s="4"/>
      <c r="J357" s="4"/>
      <c r="K357" s="4"/>
      <c r="L357" s="11"/>
      <c r="M357" s="5"/>
    </row>
    <row r="358" spans="1:13" s="8" customFormat="1" ht="45" customHeight="1" thickBot="1" x14ac:dyDescent="0.3">
      <c r="A358" s="3"/>
      <c r="B358" s="7"/>
      <c r="C358" s="4"/>
      <c r="D358" s="10"/>
      <c r="E358" s="7"/>
      <c r="F358" s="2"/>
      <c r="G358" s="2"/>
      <c r="H358" s="7"/>
      <c r="I358" s="4"/>
      <c r="J358" s="2"/>
      <c r="K358" s="2"/>
      <c r="L358" s="12"/>
      <c r="M358" s="6"/>
    </row>
    <row r="359" spans="1:13" s="8" customFormat="1" ht="45" customHeight="1" thickBot="1" x14ac:dyDescent="0.3">
      <c r="A359" s="3"/>
      <c r="B359" s="7"/>
      <c r="C359" s="4"/>
      <c r="D359" s="10"/>
      <c r="E359" s="7"/>
      <c r="F359" s="2"/>
      <c r="G359" s="2"/>
      <c r="H359" s="7"/>
      <c r="I359" s="4"/>
      <c r="J359" s="2"/>
      <c r="K359" s="2"/>
      <c r="L359" s="12"/>
      <c r="M359" s="6"/>
    </row>
    <row r="360" spans="1:13" s="8" customFormat="1" ht="45" customHeight="1" thickBot="1" x14ac:dyDescent="0.3">
      <c r="A360" s="3"/>
      <c r="B360" s="7"/>
      <c r="C360" s="4"/>
      <c r="D360" s="10"/>
      <c r="E360" s="7"/>
      <c r="F360" s="2"/>
      <c r="G360" s="2"/>
      <c r="H360" s="7"/>
      <c r="I360" s="4"/>
      <c r="J360" s="2"/>
      <c r="K360" s="2"/>
      <c r="L360" s="12"/>
      <c r="M360" s="6"/>
    </row>
    <row r="361" spans="1:13" s="8" customFormat="1" ht="45" customHeight="1" thickBot="1" x14ac:dyDescent="0.3">
      <c r="A361" s="3"/>
      <c r="B361" s="7"/>
      <c r="C361" s="4"/>
      <c r="D361" s="10"/>
      <c r="E361" s="7"/>
      <c r="F361" s="2"/>
      <c r="G361" s="2"/>
      <c r="H361" s="7"/>
      <c r="I361" s="4"/>
      <c r="J361" s="2"/>
      <c r="K361" s="2"/>
      <c r="L361" s="12"/>
      <c r="M361" s="6"/>
    </row>
    <row r="362" spans="1:13" s="8" customFormat="1" ht="45" customHeight="1" thickBot="1" x14ac:dyDescent="0.3">
      <c r="A362" s="3"/>
      <c r="B362" s="7"/>
      <c r="C362" s="4"/>
      <c r="D362" s="10"/>
      <c r="E362" s="7"/>
      <c r="F362" s="2"/>
      <c r="G362" s="2"/>
      <c r="H362" s="7"/>
      <c r="I362" s="4"/>
      <c r="J362" s="2"/>
      <c r="K362" s="2"/>
      <c r="L362" s="12"/>
      <c r="M362" s="6"/>
    </row>
    <row r="363" spans="1:13" s="8" customFormat="1" ht="45" customHeight="1" thickBot="1" x14ac:dyDescent="0.3">
      <c r="A363" s="3"/>
      <c r="B363" s="7"/>
      <c r="C363" s="4"/>
      <c r="D363" s="10"/>
      <c r="E363" s="7"/>
      <c r="F363" s="2"/>
      <c r="G363" s="2"/>
      <c r="H363" s="7"/>
      <c r="I363" s="4"/>
      <c r="J363" s="2"/>
      <c r="K363" s="2"/>
      <c r="L363" s="12"/>
      <c r="M363" s="6"/>
    </row>
    <row r="364" spans="1:13" ht="45" customHeight="1" thickBot="1" x14ac:dyDescent="0.3">
      <c r="A364" s="3"/>
      <c r="B364" s="7"/>
      <c r="C364" s="4"/>
      <c r="D364" s="10"/>
      <c r="E364" s="7"/>
      <c r="F364" s="2"/>
      <c r="G364" s="2"/>
      <c r="H364" s="7"/>
      <c r="I364" s="4"/>
      <c r="J364" s="2"/>
      <c r="K364" s="4"/>
      <c r="L364" s="11"/>
      <c r="M364" s="6"/>
    </row>
    <row r="365" spans="1:13" ht="45" customHeight="1" thickBot="1" x14ac:dyDescent="0.3">
      <c r="A365" s="3"/>
      <c r="B365" s="7"/>
      <c r="C365" s="4"/>
      <c r="D365" s="10"/>
      <c r="E365" s="7"/>
      <c r="F365" s="2"/>
      <c r="G365" s="2"/>
      <c r="H365" s="7"/>
      <c r="I365" s="4"/>
      <c r="J365" s="2"/>
      <c r="K365" s="4"/>
      <c r="L365" s="11"/>
      <c r="M365" s="6"/>
    </row>
    <row r="366" spans="1:13" ht="45" customHeight="1" thickBot="1" x14ac:dyDescent="0.3">
      <c r="A366" s="3"/>
      <c r="B366" s="7"/>
      <c r="C366" s="4"/>
      <c r="D366" s="10"/>
      <c r="E366" s="7"/>
      <c r="F366" s="2"/>
      <c r="G366" s="2"/>
      <c r="H366" s="7"/>
      <c r="I366" s="4"/>
      <c r="J366" s="2"/>
      <c r="K366" s="4"/>
      <c r="L366" s="11"/>
      <c r="M366" s="6"/>
    </row>
    <row r="367" spans="1:13" ht="45" customHeight="1" thickBot="1" x14ac:dyDescent="0.3">
      <c r="A367" s="3"/>
      <c r="B367" s="7"/>
      <c r="C367" s="4"/>
      <c r="D367" s="10"/>
      <c r="E367" s="7"/>
      <c r="F367" s="2"/>
      <c r="G367" s="2"/>
      <c r="H367" s="7"/>
      <c r="I367" s="4"/>
      <c r="J367" s="2"/>
      <c r="K367" s="4"/>
      <c r="L367" s="11"/>
      <c r="M367" s="6"/>
    </row>
    <row r="368" spans="1:13" s="8" customFormat="1" ht="45" customHeight="1" thickBot="1" x14ac:dyDescent="0.3">
      <c r="A368" s="3"/>
      <c r="B368" s="7"/>
      <c r="C368" s="4"/>
      <c r="D368" s="16"/>
      <c r="E368" s="7"/>
      <c r="F368" s="2"/>
      <c r="G368" s="2"/>
      <c r="H368" s="2"/>
      <c r="I368" s="4"/>
      <c r="J368" s="2"/>
      <c r="K368" s="2"/>
      <c r="L368" s="12"/>
      <c r="M368" s="6"/>
    </row>
    <row r="369" spans="1:13" ht="45" customHeight="1" thickBot="1" x14ac:dyDescent="0.3">
      <c r="A369" s="3"/>
      <c r="B369" s="7"/>
      <c r="C369" s="7"/>
      <c r="D369" s="14"/>
      <c r="E369" s="7"/>
      <c r="F369" s="2"/>
      <c r="G369" s="2"/>
      <c r="H369" s="7"/>
      <c r="I369" s="4"/>
      <c r="J369" s="4"/>
      <c r="K369" s="4"/>
      <c r="L369" s="11"/>
      <c r="M369" s="5"/>
    </row>
    <row r="370" spans="1:13" ht="45" customHeight="1" thickBot="1" x14ac:dyDescent="0.3">
      <c r="A370" s="3"/>
      <c r="B370" s="7"/>
      <c r="C370" s="2"/>
      <c r="D370" s="2"/>
      <c r="E370" s="7"/>
      <c r="F370" s="2"/>
      <c r="G370" s="2"/>
      <c r="H370" s="7"/>
      <c r="I370" s="4"/>
      <c r="J370" s="4"/>
      <c r="K370" s="4"/>
      <c r="L370" s="11"/>
      <c r="M370" s="44"/>
    </row>
    <row r="371" spans="1:13" ht="45" customHeight="1" thickBot="1" x14ac:dyDescent="0.3">
      <c r="A371" s="3"/>
      <c r="B371" s="7"/>
      <c r="C371" s="2"/>
      <c r="D371" s="2"/>
      <c r="E371" s="7"/>
      <c r="F371" s="2"/>
      <c r="G371" s="2"/>
      <c r="H371" s="7"/>
      <c r="I371" s="4"/>
      <c r="J371" s="4"/>
      <c r="K371" s="4"/>
      <c r="L371" s="11"/>
      <c r="M371" s="44"/>
    </row>
    <row r="372" spans="1:13" ht="45" customHeight="1" thickBot="1" x14ac:dyDescent="0.3">
      <c r="A372" s="3"/>
      <c r="B372" s="7"/>
      <c r="C372" s="2"/>
      <c r="D372" s="2"/>
      <c r="E372" s="7"/>
      <c r="F372" s="2"/>
      <c r="G372" s="2"/>
      <c r="H372" s="7"/>
      <c r="I372" s="4"/>
      <c r="J372" s="4"/>
      <c r="K372" s="4"/>
      <c r="L372" s="11"/>
      <c r="M372" s="44"/>
    </row>
    <row r="373" spans="1:13" ht="45" customHeight="1" thickBot="1" x14ac:dyDescent="0.3">
      <c r="A373" s="3"/>
      <c r="B373" s="7"/>
      <c r="C373" s="2"/>
      <c r="D373" s="2"/>
      <c r="E373" s="7"/>
      <c r="F373" s="2"/>
      <c r="G373" s="2"/>
      <c r="H373" s="7"/>
      <c r="I373" s="4"/>
      <c r="J373" s="4"/>
      <c r="K373" s="4"/>
      <c r="L373" s="11"/>
      <c r="M373" s="44"/>
    </row>
    <row r="374" spans="1:13" ht="45" customHeight="1" thickBot="1" x14ac:dyDescent="0.3">
      <c r="A374" s="3"/>
      <c r="B374" s="7"/>
      <c r="C374" s="2"/>
      <c r="D374" s="2"/>
      <c r="E374" s="7"/>
      <c r="F374" s="2"/>
      <c r="G374" s="2"/>
      <c r="H374" s="7"/>
      <c r="I374" s="4"/>
      <c r="J374" s="4"/>
      <c r="K374" s="4"/>
      <c r="L374" s="11"/>
      <c r="M374" s="44"/>
    </row>
    <row r="375" spans="1:13" ht="45" customHeight="1" thickBot="1" x14ac:dyDescent="0.3">
      <c r="A375" s="3"/>
      <c r="B375" s="7"/>
      <c r="C375" s="2"/>
      <c r="D375" s="2"/>
      <c r="E375" s="7"/>
      <c r="F375" s="2"/>
      <c r="G375" s="2"/>
      <c r="H375" s="7"/>
      <c r="I375" s="4"/>
      <c r="J375" s="4"/>
      <c r="K375" s="4"/>
      <c r="L375" s="11"/>
      <c r="M375" s="44"/>
    </row>
    <row r="376" spans="1:13" ht="45" customHeight="1" thickBot="1" x14ac:dyDescent="0.3">
      <c r="A376" s="3"/>
      <c r="B376" s="7"/>
      <c r="C376" s="2"/>
      <c r="D376" s="2"/>
      <c r="E376" s="7"/>
      <c r="F376" s="2"/>
      <c r="G376" s="2"/>
      <c r="H376" s="7"/>
      <c r="I376" s="4"/>
      <c r="J376" s="4"/>
      <c r="K376" s="4"/>
      <c r="L376" s="11"/>
      <c r="M376" s="44"/>
    </row>
    <row r="377" spans="1:13" ht="45" customHeight="1" thickBot="1" x14ac:dyDescent="0.3">
      <c r="A377" s="3"/>
      <c r="B377" s="7"/>
      <c r="C377" s="2"/>
      <c r="D377" s="2"/>
      <c r="E377" s="7"/>
      <c r="F377" s="2"/>
      <c r="G377" s="2"/>
      <c r="H377" s="7"/>
      <c r="I377" s="4"/>
      <c r="J377" s="4"/>
      <c r="K377" s="4"/>
      <c r="L377" s="11"/>
      <c r="M377" s="44"/>
    </row>
    <row r="378" spans="1:13" ht="45" customHeight="1" thickBot="1" x14ac:dyDescent="0.3">
      <c r="A378" s="3"/>
      <c r="B378" s="7"/>
      <c r="C378" s="2"/>
      <c r="D378" s="2"/>
      <c r="E378" s="7"/>
      <c r="F378" s="2"/>
      <c r="G378" s="2"/>
      <c r="H378" s="7"/>
      <c r="I378" s="4"/>
      <c r="J378" s="4"/>
      <c r="K378" s="4"/>
      <c r="L378" s="11"/>
      <c r="M378" s="44"/>
    </row>
    <row r="379" spans="1:13" ht="45" customHeight="1" thickBot="1" x14ac:dyDescent="0.3">
      <c r="A379" s="3"/>
      <c r="B379" s="7"/>
      <c r="C379" s="2"/>
      <c r="D379" s="2"/>
      <c r="E379" s="7"/>
      <c r="F379" s="2"/>
      <c r="G379" s="2"/>
      <c r="H379" s="7"/>
      <c r="I379" s="4"/>
      <c r="J379" s="4"/>
      <c r="K379" s="4"/>
      <c r="L379" s="11"/>
      <c r="M379" s="44"/>
    </row>
    <row r="380" spans="1:13" ht="45" customHeight="1" thickBot="1" x14ac:dyDescent="0.3">
      <c r="A380" s="3"/>
      <c r="B380" s="7"/>
      <c r="C380" s="2"/>
      <c r="D380" s="2"/>
      <c r="E380" s="7"/>
      <c r="F380" s="2"/>
      <c r="G380" s="2"/>
      <c r="H380" s="7"/>
      <c r="I380" s="4"/>
      <c r="J380" s="4"/>
      <c r="K380" s="4"/>
      <c r="L380" s="11"/>
      <c r="M380" s="44"/>
    </row>
    <row r="381" spans="1:13" ht="45" customHeight="1" thickBot="1" x14ac:dyDescent="0.3">
      <c r="A381" s="3"/>
      <c r="B381" s="7"/>
      <c r="C381" s="2"/>
      <c r="D381" s="2"/>
      <c r="E381" s="7"/>
      <c r="F381" s="2"/>
      <c r="G381" s="2"/>
      <c r="H381" s="7"/>
      <c r="I381" s="4"/>
      <c r="J381" s="4"/>
      <c r="K381" s="4"/>
      <c r="L381" s="11"/>
      <c r="M381" s="44"/>
    </row>
    <row r="382" spans="1:13" ht="45" customHeight="1" thickBot="1" x14ac:dyDescent="0.3">
      <c r="A382" s="3"/>
      <c r="B382" s="7"/>
      <c r="C382" s="2"/>
      <c r="D382" s="2"/>
      <c r="E382" s="7"/>
      <c r="F382" s="2"/>
      <c r="G382" s="2"/>
      <c r="H382" s="7"/>
      <c r="I382" s="4"/>
      <c r="J382" s="4"/>
      <c r="K382" s="4"/>
      <c r="L382" s="11"/>
      <c r="M382" s="44"/>
    </row>
    <row r="383" spans="1:13" ht="45" customHeight="1" thickBot="1" x14ac:dyDescent="0.3">
      <c r="A383" s="3"/>
      <c r="B383" s="7"/>
      <c r="C383" s="2"/>
      <c r="D383" s="2"/>
      <c r="E383" s="7"/>
      <c r="F383" s="2"/>
      <c r="G383" s="2"/>
      <c r="H383" s="7"/>
      <c r="I383" s="4"/>
      <c r="J383" s="4"/>
      <c r="K383" s="4"/>
      <c r="L383" s="11"/>
      <c r="M383" s="44"/>
    </row>
    <row r="384" spans="1:13" ht="45" customHeight="1" thickBot="1" x14ac:dyDescent="0.3">
      <c r="A384" s="3"/>
      <c r="B384" s="7"/>
      <c r="C384" s="2"/>
      <c r="D384" s="2"/>
      <c r="E384" s="7"/>
      <c r="F384" s="2"/>
      <c r="G384" s="2"/>
      <c r="H384" s="7"/>
      <c r="I384" s="4"/>
      <c r="J384" s="4"/>
      <c r="K384" s="4"/>
      <c r="L384" s="11"/>
      <c r="M384" s="44"/>
    </row>
    <row r="385" spans="1:13" ht="45" customHeight="1" thickBot="1" x14ac:dyDescent="0.3">
      <c r="A385" s="3"/>
      <c r="B385" s="7"/>
      <c r="C385" s="2"/>
      <c r="D385" s="2"/>
      <c r="E385" s="7"/>
      <c r="F385" s="2"/>
      <c r="G385" s="2"/>
      <c r="H385" s="7"/>
      <c r="I385" s="4"/>
      <c r="J385" s="4"/>
      <c r="K385" s="4"/>
      <c r="L385" s="11"/>
      <c r="M385" s="44"/>
    </row>
    <row r="386" spans="1:13" ht="45" customHeight="1" thickBot="1" x14ac:dyDescent="0.3">
      <c r="A386" s="3"/>
      <c r="B386" s="7"/>
      <c r="C386" s="2"/>
      <c r="D386" s="2"/>
      <c r="E386" s="7"/>
      <c r="F386" s="2"/>
      <c r="G386" s="2"/>
      <c r="H386" s="7"/>
      <c r="I386" s="4"/>
      <c r="J386" s="4"/>
      <c r="K386" s="4"/>
      <c r="L386" s="11"/>
      <c r="M386" s="44"/>
    </row>
    <row r="387" spans="1:13" ht="45" customHeight="1" thickBot="1" x14ac:dyDescent="0.3">
      <c r="A387" s="3"/>
      <c r="B387" s="7"/>
      <c r="C387" s="2"/>
      <c r="D387" s="2"/>
      <c r="E387" s="7"/>
      <c r="F387" s="2"/>
      <c r="G387" s="2"/>
      <c r="H387" s="7"/>
      <c r="I387" s="4"/>
      <c r="J387" s="4"/>
      <c r="K387" s="4"/>
      <c r="L387" s="11"/>
      <c r="M387" s="44"/>
    </row>
    <row r="388" spans="1:13" ht="45" customHeight="1" thickBot="1" x14ac:dyDescent="0.3">
      <c r="A388" s="3"/>
      <c r="B388" s="7"/>
      <c r="C388" s="2"/>
      <c r="D388" s="2"/>
      <c r="E388" s="7"/>
      <c r="F388" s="2"/>
      <c r="G388" s="2"/>
      <c r="H388" s="7"/>
      <c r="I388" s="4"/>
      <c r="J388" s="4"/>
      <c r="K388" s="4"/>
      <c r="L388" s="11"/>
      <c r="M388" s="44"/>
    </row>
    <row r="389" spans="1:13" ht="45" customHeight="1" thickBot="1" x14ac:dyDescent="0.3">
      <c r="A389" s="3"/>
      <c r="B389" s="7"/>
      <c r="C389" s="2"/>
      <c r="D389" s="2"/>
      <c r="E389" s="7"/>
      <c r="F389" s="2"/>
      <c r="G389" s="2"/>
      <c r="H389" s="7"/>
      <c r="I389" s="4"/>
      <c r="J389" s="4"/>
      <c r="K389" s="4"/>
      <c r="L389" s="11"/>
      <c r="M389" s="44"/>
    </row>
    <row r="390" spans="1:13" ht="45" customHeight="1" thickBot="1" x14ac:dyDescent="0.3">
      <c r="A390" s="3"/>
      <c r="B390" s="7"/>
      <c r="C390" s="2"/>
      <c r="D390" s="2"/>
      <c r="E390" s="7"/>
      <c r="F390" s="2"/>
      <c r="G390" s="2"/>
      <c r="H390" s="7"/>
      <c r="I390" s="4"/>
      <c r="J390" s="4"/>
      <c r="K390" s="4"/>
      <c r="L390" s="11"/>
      <c r="M390" s="44"/>
    </row>
    <row r="391" spans="1:13" ht="45" customHeight="1" thickBot="1" x14ac:dyDescent="0.3">
      <c r="A391" s="3"/>
      <c r="B391" s="7"/>
      <c r="C391" s="2"/>
      <c r="D391" s="2"/>
      <c r="E391" s="7"/>
      <c r="F391" s="2"/>
      <c r="G391" s="2"/>
      <c r="H391" s="7"/>
      <c r="I391" s="4"/>
      <c r="J391" s="4"/>
      <c r="K391" s="4"/>
      <c r="L391" s="11"/>
      <c r="M391" s="44"/>
    </row>
    <row r="392" spans="1:13" ht="45" customHeight="1" thickBot="1" x14ac:dyDescent="0.3">
      <c r="A392" s="3"/>
      <c r="B392" s="7"/>
      <c r="C392" s="2"/>
      <c r="D392" s="2"/>
      <c r="E392" s="7"/>
      <c r="F392" s="2"/>
      <c r="G392" s="2"/>
      <c r="H392" s="7"/>
      <c r="I392" s="4"/>
      <c r="J392" s="4"/>
      <c r="K392" s="4"/>
      <c r="L392" s="11"/>
      <c r="M392" s="44"/>
    </row>
    <row r="393" spans="1:13" ht="45" customHeight="1" thickBot="1" x14ac:dyDescent="0.3">
      <c r="A393" s="3"/>
      <c r="B393" s="7"/>
      <c r="C393" s="2"/>
      <c r="D393" s="2"/>
      <c r="E393" s="7"/>
      <c r="F393" s="2"/>
      <c r="G393" s="2"/>
      <c r="H393" s="7"/>
      <c r="I393" s="4"/>
      <c r="J393" s="4"/>
      <c r="K393" s="4"/>
      <c r="L393" s="11"/>
      <c r="M393" s="44"/>
    </row>
    <row r="394" spans="1:13" ht="45" customHeight="1" thickBot="1" x14ac:dyDescent="0.3">
      <c r="A394" s="3"/>
      <c r="B394" s="7"/>
      <c r="C394" s="2"/>
      <c r="D394" s="2"/>
      <c r="E394" s="7"/>
      <c r="F394" s="2"/>
      <c r="G394" s="2"/>
      <c r="H394" s="7"/>
      <c r="I394" s="4"/>
      <c r="J394" s="4"/>
      <c r="K394" s="4"/>
      <c r="L394" s="11"/>
      <c r="M394" s="44"/>
    </row>
    <row r="395" spans="1:13" ht="45" customHeight="1" thickBot="1" x14ac:dyDescent="0.3">
      <c r="A395" s="3"/>
      <c r="B395" s="7"/>
      <c r="C395" s="2"/>
      <c r="D395" s="2"/>
      <c r="E395" s="7"/>
      <c r="F395" s="2"/>
      <c r="G395" s="2"/>
      <c r="H395" s="7"/>
      <c r="I395" s="4"/>
      <c r="J395" s="4"/>
      <c r="K395" s="4"/>
      <c r="L395" s="11"/>
      <c r="M395" s="44"/>
    </row>
    <row r="396" spans="1:13" ht="45" customHeight="1" thickBot="1" x14ac:dyDescent="0.3">
      <c r="A396" s="3"/>
      <c r="B396" s="7"/>
      <c r="C396" s="2"/>
      <c r="D396" s="2"/>
      <c r="E396" s="7"/>
      <c r="F396" s="2"/>
      <c r="G396" s="2"/>
      <c r="H396" s="7"/>
      <c r="I396" s="4"/>
      <c r="J396" s="4"/>
      <c r="K396" s="4"/>
      <c r="L396" s="11"/>
      <c r="M396" s="44"/>
    </row>
    <row r="397" spans="1:13" ht="45" customHeight="1" thickBot="1" x14ac:dyDescent="0.3">
      <c r="A397" s="3"/>
      <c r="B397" s="7"/>
      <c r="C397" s="2"/>
      <c r="D397" s="2"/>
      <c r="E397" s="7"/>
      <c r="F397" s="2"/>
      <c r="G397" s="2"/>
      <c r="H397" s="7"/>
      <c r="I397" s="4"/>
      <c r="J397" s="4"/>
      <c r="K397" s="4"/>
      <c r="L397" s="11"/>
      <c r="M397" s="44"/>
    </row>
    <row r="398" spans="1:13" ht="45" customHeight="1" thickBot="1" x14ac:dyDescent="0.3">
      <c r="A398" s="3"/>
      <c r="B398" s="7"/>
      <c r="C398" s="2"/>
      <c r="D398" s="2"/>
      <c r="E398" s="7"/>
      <c r="F398" s="2"/>
      <c r="G398" s="2"/>
      <c r="H398" s="7"/>
      <c r="I398" s="4"/>
      <c r="J398" s="4"/>
      <c r="K398" s="4"/>
      <c r="L398" s="11"/>
      <c r="M398" s="44"/>
    </row>
    <row r="399" spans="1:13" ht="45" customHeight="1" thickBot="1" x14ac:dyDescent="0.3">
      <c r="A399" s="3"/>
      <c r="B399" s="7"/>
      <c r="C399" s="2"/>
      <c r="D399" s="2"/>
      <c r="E399" s="7"/>
      <c r="F399" s="2"/>
      <c r="G399" s="2"/>
      <c r="H399" s="7"/>
      <c r="I399" s="4"/>
      <c r="J399" s="4"/>
      <c r="K399" s="4"/>
      <c r="L399" s="11"/>
      <c r="M399" s="44"/>
    </row>
    <row r="400" spans="1:13" ht="45" customHeight="1" thickBot="1" x14ac:dyDescent="0.3">
      <c r="A400" s="3"/>
      <c r="B400" s="7"/>
      <c r="C400" s="2"/>
      <c r="D400" s="2"/>
      <c r="E400" s="7"/>
      <c r="F400" s="2"/>
      <c r="G400" s="2"/>
      <c r="H400" s="7"/>
      <c r="I400" s="4"/>
      <c r="J400" s="4"/>
      <c r="K400" s="4"/>
      <c r="L400" s="11"/>
      <c r="M400" s="44"/>
    </row>
    <row r="401" spans="1:13" ht="45" customHeight="1" thickBot="1" x14ac:dyDescent="0.3">
      <c r="A401" s="3"/>
      <c r="B401" s="7"/>
      <c r="C401" s="2"/>
      <c r="D401" s="2"/>
      <c r="E401" s="7"/>
      <c r="F401" s="2"/>
      <c r="G401" s="2"/>
      <c r="H401" s="7"/>
      <c r="I401" s="4"/>
      <c r="J401" s="4"/>
      <c r="K401" s="4"/>
      <c r="L401" s="11"/>
      <c r="M401" s="44"/>
    </row>
    <row r="402" spans="1:13" ht="45" customHeight="1" thickBot="1" x14ac:dyDescent="0.3">
      <c r="A402" s="3"/>
      <c r="B402" s="7"/>
      <c r="C402" s="2"/>
      <c r="D402" s="2"/>
      <c r="E402" s="7"/>
      <c r="F402" s="2"/>
      <c r="G402" s="2"/>
      <c r="H402" s="7"/>
      <c r="I402" s="4"/>
      <c r="J402" s="4"/>
      <c r="K402" s="4"/>
      <c r="L402" s="11"/>
      <c r="M402" s="44"/>
    </row>
    <row r="403" spans="1:13" ht="45" customHeight="1" thickBot="1" x14ac:dyDescent="0.3">
      <c r="A403" s="3"/>
      <c r="B403" s="7"/>
      <c r="C403" s="2"/>
      <c r="D403" s="2"/>
      <c r="E403" s="7"/>
      <c r="F403" s="2"/>
      <c r="G403" s="2"/>
      <c r="H403" s="7"/>
      <c r="I403" s="4"/>
      <c r="J403" s="4"/>
      <c r="K403" s="4"/>
      <c r="L403" s="11"/>
      <c r="M403" s="44"/>
    </row>
    <row r="404" spans="1:13" ht="45" customHeight="1" thickBot="1" x14ac:dyDescent="0.3">
      <c r="A404" s="3"/>
      <c r="B404" s="7"/>
      <c r="C404" s="2"/>
      <c r="D404" s="2"/>
      <c r="E404" s="7"/>
      <c r="F404" s="2"/>
      <c r="G404" s="2"/>
      <c r="H404" s="7"/>
      <c r="I404" s="4"/>
      <c r="J404" s="4"/>
      <c r="K404" s="4"/>
      <c r="L404" s="11"/>
      <c r="M404" s="44"/>
    </row>
    <row r="405" spans="1:13" ht="45" customHeight="1" thickBot="1" x14ac:dyDescent="0.3">
      <c r="A405" s="3"/>
      <c r="B405" s="7"/>
      <c r="C405" s="2"/>
      <c r="D405" s="2"/>
      <c r="E405" s="7"/>
      <c r="F405" s="2"/>
      <c r="G405" s="2"/>
      <c r="H405" s="7"/>
      <c r="I405" s="4"/>
      <c r="J405" s="4"/>
      <c r="K405" s="4"/>
      <c r="L405" s="11"/>
      <c r="M405" s="44"/>
    </row>
    <row r="406" spans="1:13" ht="45" customHeight="1" thickBot="1" x14ac:dyDescent="0.3">
      <c r="A406" s="3"/>
      <c r="B406" s="7"/>
      <c r="C406" s="2"/>
      <c r="D406" s="2"/>
      <c r="E406" s="7"/>
      <c r="F406" s="2"/>
      <c r="G406" s="2"/>
      <c r="H406" s="7"/>
      <c r="I406" s="4"/>
      <c r="J406" s="4"/>
      <c r="K406" s="4"/>
      <c r="L406" s="11"/>
      <c r="M406" s="44"/>
    </row>
    <row r="407" spans="1:13" ht="45" customHeight="1" thickBot="1" x14ac:dyDescent="0.3">
      <c r="A407" s="3"/>
      <c r="B407" s="7"/>
      <c r="C407" s="2"/>
      <c r="D407" s="2"/>
      <c r="E407" s="7"/>
      <c r="F407" s="2"/>
      <c r="G407" s="2"/>
      <c r="H407" s="7"/>
      <c r="I407" s="4"/>
      <c r="J407" s="4"/>
      <c r="K407" s="4"/>
      <c r="L407" s="11"/>
      <c r="M407" s="44"/>
    </row>
    <row r="408" spans="1:13" ht="45" customHeight="1" thickBot="1" x14ac:dyDescent="0.3">
      <c r="A408" s="3"/>
      <c r="B408" s="7"/>
      <c r="C408" s="2"/>
      <c r="D408" s="2"/>
      <c r="E408" s="7"/>
      <c r="F408" s="2"/>
      <c r="G408" s="2"/>
      <c r="H408" s="7"/>
      <c r="I408" s="4"/>
      <c r="J408" s="4"/>
      <c r="K408" s="4"/>
      <c r="L408" s="11"/>
      <c r="M408" s="44"/>
    </row>
    <row r="409" spans="1:13" ht="45" customHeight="1" thickBot="1" x14ac:dyDescent="0.3">
      <c r="A409" s="3"/>
      <c r="B409" s="7"/>
      <c r="C409" s="2"/>
      <c r="D409" s="2"/>
      <c r="E409" s="7"/>
      <c r="F409" s="2"/>
      <c r="G409" s="2"/>
      <c r="H409" s="7"/>
      <c r="I409" s="4"/>
      <c r="J409" s="4"/>
      <c r="K409" s="4"/>
      <c r="L409" s="11"/>
      <c r="M409" s="44"/>
    </row>
    <row r="410" spans="1:13" ht="45" customHeight="1" thickBot="1" x14ac:dyDescent="0.3">
      <c r="A410" s="3"/>
      <c r="B410" s="7"/>
      <c r="C410" s="2"/>
      <c r="D410" s="2"/>
      <c r="E410" s="7"/>
      <c r="F410" s="2"/>
      <c r="G410" s="2"/>
      <c r="H410" s="7"/>
      <c r="I410" s="4"/>
      <c r="J410" s="4"/>
      <c r="K410" s="4"/>
      <c r="L410" s="11"/>
      <c r="M410" s="44"/>
    </row>
    <row r="411" spans="1:13" ht="45" customHeight="1" thickBot="1" x14ac:dyDescent="0.3">
      <c r="A411" s="3"/>
      <c r="B411" s="7"/>
      <c r="C411" s="2"/>
      <c r="D411" s="2"/>
      <c r="E411" s="7"/>
      <c r="F411" s="2"/>
      <c r="G411" s="2"/>
      <c r="H411" s="7"/>
      <c r="I411" s="4"/>
      <c r="J411" s="4"/>
      <c r="K411" s="4"/>
      <c r="L411" s="11"/>
      <c r="M411" s="44"/>
    </row>
    <row r="412" spans="1:13" ht="45" customHeight="1" thickBot="1" x14ac:dyDescent="0.3">
      <c r="A412" s="3"/>
      <c r="B412" s="7"/>
      <c r="C412" s="2"/>
      <c r="D412" s="2"/>
      <c r="E412" s="7"/>
      <c r="F412" s="2"/>
      <c r="G412" s="2"/>
      <c r="H412" s="7"/>
      <c r="I412" s="4"/>
      <c r="J412" s="4"/>
      <c r="K412" s="4"/>
      <c r="L412" s="11"/>
      <c r="M412" s="44"/>
    </row>
    <row r="413" spans="1:13" ht="45" customHeight="1" thickBot="1" x14ac:dyDescent="0.3">
      <c r="A413" s="3"/>
      <c r="B413" s="7"/>
      <c r="C413" s="4"/>
      <c r="D413" s="2"/>
      <c r="E413" s="7"/>
      <c r="F413" s="2"/>
      <c r="G413" s="2"/>
      <c r="H413" s="7"/>
      <c r="I413" s="4"/>
      <c r="J413" s="4"/>
      <c r="K413" s="4"/>
      <c r="L413" s="11"/>
      <c r="M413" s="44"/>
    </row>
    <row r="414" spans="1:13" ht="45" customHeight="1" thickBot="1" x14ac:dyDescent="0.3">
      <c r="A414" s="3"/>
      <c r="B414" s="7"/>
      <c r="C414" s="4"/>
      <c r="D414" s="2"/>
      <c r="E414" s="7"/>
      <c r="F414" s="2"/>
      <c r="G414" s="2"/>
      <c r="H414" s="7"/>
      <c r="I414" s="4"/>
      <c r="J414" s="4"/>
      <c r="K414" s="4"/>
      <c r="L414" s="11"/>
      <c r="M414" s="44"/>
    </row>
    <row r="415" spans="1:13" s="8" customFormat="1" ht="45" customHeight="1" thickBot="1" x14ac:dyDescent="0.3">
      <c r="A415" s="3"/>
      <c r="B415" s="7"/>
      <c r="C415" s="2"/>
      <c r="D415" s="10"/>
      <c r="E415" s="7"/>
      <c r="F415" s="7"/>
      <c r="G415" s="7"/>
      <c r="H415" s="4"/>
      <c r="I415" s="4"/>
      <c r="J415" s="2"/>
      <c r="K415" s="2"/>
      <c r="L415" s="12"/>
      <c r="M415" s="6"/>
    </row>
    <row r="416" spans="1:13" s="8" customFormat="1" ht="45" customHeight="1" thickBot="1" x14ac:dyDescent="0.3">
      <c r="A416" s="3"/>
      <c r="B416" s="7"/>
      <c r="C416" s="2"/>
      <c r="D416" s="10"/>
      <c r="E416" s="7"/>
      <c r="F416" s="7"/>
      <c r="G416" s="7"/>
      <c r="H416" s="4"/>
      <c r="I416" s="4"/>
      <c r="J416" s="2"/>
      <c r="K416" s="2"/>
      <c r="L416" s="12"/>
      <c r="M416" s="6"/>
    </row>
    <row r="417" spans="1:13" s="8" customFormat="1" ht="45" customHeight="1" thickBot="1" x14ac:dyDescent="0.3">
      <c r="A417" s="3"/>
      <c r="B417" s="7"/>
      <c r="C417" s="2"/>
      <c r="D417" s="2"/>
      <c r="E417" s="7"/>
      <c r="F417" s="7"/>
      <c r="G417" s="7"/>
      <c r="H417" s="4"/>
      <c r="I417" s="4"/>
      <c r="J417" s="2"/>
      <c r="K417" s="2"/>
      <c r="L417" s="12"/>
      <c r="M417" s="6"/>
    </row>
    <row r="418" spans="1:13" s="8" customFormat="1" ht="45" customHeight="1" thickBot="1" x14ac:dyDescent="0.3">
      <c r="A418" s="3"/>
      <c r="B418" s="7"/>
      <c r="C418" s="2"/>
      <c r="D418" s="2"/>
      <c r="E418" s="7"/>
      <c r="F418" s="7"/>
      <c r="G418" s="7"/>
      <c r="H418" s="4"/>
      <c r="I418" s="4"/>
      <c r="J418" s="2"/>
      <c r="K418" s="2"/>
      <c r="L418" s="12"/>
      <c r="M418" s="6"/>
    </row>
    <row r="419" spans="1:13" s="8" customFormat="1" ht="45" customHeight="1" thickBot="1" x14ac:dyDescent="0.3">
      <c r="A419" s="3"/>
      <c r="B419" s="7"/>
      <c r="C419" s="2"/>
      <c r="D419" s="15"/>
      <c r="E419" s="7"/>
      <c r="F419" s="2"/>
      <c r="G419" s="2"/>
      <c r="H419" s="2"/>
      <c r="I419" s="4"/>
      <c r="J419" s="2"/>
      <c r="K419" s="2"/>
      <c r="L419" s="12"/>
      <c r="M419" s="6"/>
    </row>
    <row r="420" spans="1:13" s="8" customFormat="1" ht="45" customHeight="1" thickBot="1" x14ac:dyDescent="0.3">
      <c r="A420" s="3"/>
      <c r="B420" s="7"/>
      <c r="C420" s="2"/>
      <c r="D420" s="15"/>
      <c r="E420" s="2"/>
      <c r="F420" s="2"/>
      <c r="G420" s="2"/>
      <c r="H420" s="2"/>
      <c r="I420" s="4"/>
      <c r="J420" s="2"/>
      <c r="K420" s="2"/>
      <c r="L420" s="12"/>
      <c r="M420" s="6"/>
    </row>
    <row r="421" spans="1:13" s="8" customFormat="1" ht="45" customHeight="1" thickBot="1" x14ac:dyDescent="0.3">
      <c r="A421" s="3"/>
      <c r="B421" s="7"/>
      <c r="C421" s="2"/>
      <c r="D421" s="15"/>
      <c r="E421" s="2"/>
      <c r="F421" s="2"/>
      <c r="G421" s="2"/>
      <c r="H421" s="2"/>
      <c r="I421" s="4"/>
      <c r="J421" s="2"/>
      <c r="K421" s="2"/>
      <c r="L421" s="12"/>
      <c r="M421" s="6"/>
    </row>
    <row r="422" spans="1:13" s="8" customFormat="1" ht="45" customHeight="1" thickBot="1" x14ac:dyDescent="0.3">
      <c r="A422" s="3"/>
      <c r="B422" s="7"/>
      <c r="C422" s="2"/>
      <c r="D422" s="15"/>
      <c r="E422" s="2"/>
      <c r="F422" s="2"/>
      <c r="G422" s="2"/>
      <c r="H422" s="2"/>
      <c r="I422" s="4"/>
      <c r="J422" s="2"/>
      <c r="K422" s="2"/>
      <c r="L422" s="12"/>
      <c r="M422" s="6"/>
    </row>
    <row r="423" spans="1:13" s="8" customFormat="1" ht="45" customHeight="1" thickBot="1" x14ac:dyDescent="0.3">
      <c r="A423" s="3"/>
      <c r="B423" s="7"/>
      <c r="C423" s="2"/>
      <c r="D423" s="15"/>
      <c r="E423" s="2"/>
      <c r="F423" s="2"/>
      <c r="G423" s="2"/>
      <c r="H423" s="2"/>
      <c r="I423" s="4"/>
      <c r="J423" s="2"/>
      <c r="K423" s="2"/>
      <c r="L423" s="12"/>
      <c r="M423" s="6"/>
    </row>
    <row r="424" spans="1:13" s="8" customFormat="1" ht="45" customHeight="1" thickBot="1" x14ac:dyDescent="0.3">
      <c r="A424" s="3"/>
      <c r="B424" s="2" t="s">
        <v>18</v>
      </c>
      <c r="C424" s="2"/>
      <c r="D424" s="2"/>
      <c r="E424" s="2"/>
      <c r="F424" s="2"/>
      <c r="G424" s="2"/>
      <c r="H424" s="2"/>
      <c r="I424" s="2" t="s">
        <v>4</v>
      </c>
      <c r="J424" s="2">
        <f>SUM(J7:J423)</f>
        <v>0</v>
      </c>
      <c r="K424" s="2"/>
      <c r="L424" s="12"/>
      <c r="M424" s="6"/>
    </row>
  </sheetData>
  <autoFilter ref="A5:M52" xr:uid="{00000000-0009-0000-0000-000001000000}"/>
  <mergeCells count="16">
    <mergeCell ref="G5:G6"/>
    <mergeCell ref="A1:M2"/>
    <mergeCell ref="A3:M3"/>
    <mergeCell ref="A4:M4"/>
    <mergeCell ref="A5:A6"/>
    <mergeCell ref="B5:B6"/>
    <mergeCell ref="C5:C6"/>
    <mergeCell ref="D5:D6"/>
    <mergeCell ref="E5:E6"/>
    <mergeCell ref="F5:F6"/>
    <mergeCell ref="H5:H6"/>
    <mergeCell ref="I5:I6"/>
    <mergeCell ref="J5:J6"/>
    <mergeCell ref="K5:K6"/>
    <mergeCell ref="L5:L6"/>
    <mergeCell ref="M5:M6"/>
  </mergeCells>
  <phoneticPr fontId="7" type="noConversion"/>
  <pageMargins left="0.7" right="0.7" top="0.75" bottom="0.75" header="0.3" footer="0.3"/>
  <pageSetup scale="52" fitToHeight="0" orientation="landscape" r:id="rId1"/>
  <ignoredErrors>
    <ignoredError sqref="D7:D11 D54 D57:D62 D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05"/>
  <sheetViews>
    <sheetView tabSelected="1" view="pageBreakPreview" topLeftCell="A4" zoomScaleNormal="100" zoomScaleSheetLayoutView="100" workbookViewId="0">
      <pane xSplit="2" ySplit="3" topLeftCell="C40" activePane="bottomRight" state="frozen"/>
      <selection activeCell="A4" sqref="A4"/>
      <selection pane="topRight" activeCell="C4" sqref="C4"/>
      <selection pane="bottomLeft" activeCell="A7" sqref="A7"/>
      <selection pane="bottomRight" activeCell="B43" sqref="B43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2.140625" style="1" bestFit="1" customWidth="1"/>
    <col min="4" max="4" width="33.5703125" style="1" customWidth="1"/>
    <col min="5" max="5" width="28" style="1" bestFit="1" customWidth="1"/>
    <col min="6" max="7" width="10.7109375" style="1" customWidth="1"/>
    <col min="8" max="8" width="25.28515625" style="1" bestFit="1" customWidth="1"/>
    <col min="9" max="9" width="9.140625" style="1"/>
    <col min="10" max="10" width="20.7109375" style="1" customWidth="1"/>
    <col min="11" max="12" width="20.7109375" style="1" hidden="1" customWidth="1"/>
    <col min="13" max="13" width="21.5703125" style="1" customWidth="1"/>
    <col min="14" max="16384" width="9.140625" style="1"/>
  </cols>
  <sheetData>
    <row r="1" spans="1:13" x14ac:dyDescent="0.25">
      <c r="A1" s="68"/>
      <c r="B1" s="69"/>
      <c r="C1" s="69"/>
      <c r="D1" s="69"/>
      <c r="E1" s="69"/>
      <c r="F1" s="69"/>
      <c r="G1" s="69"/>
      <c r="H1" s="69"/>
      <c r="I1" s="69"/>
      <c r="J1" s="69"/>
      <c r="K1" s="70"/>
      <c r="L1" s="70"/>
      <c r="M1" s="71"/>
    </row>
    <row r="2" spans="1:13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  <c r="L2" s="74"/>
      <c r="M2" s="75"/>
    </row>
    <row r="3" spans="1:13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6" t="s">
        <v>308</v>
      </c>
      <c r="H5" s="84" t="s">
        <v>27</v>
      </c>
      <c r="I5" s="86" t="s">
        <v>312</v>
      </c>
      <c r="J5" s="86" t="s">
        <v>24</v>
      </c>
      <c r="K5" s="86" t="s">
        <v>24</v>
      </c>
      <c r="L5" s="86" t="s">
        <v>25</v>
      </c>
      <c r="M5" s="66" t="s">
        <v>3</v>
      </c>
    </row>
    <row r="6" spans="1:13" ht="18" customHeight="1" thickBot="1" x14ac:dyDescent="0.3">
      <c r="A6" s="83"/>
      <c r="B6" s="85"/>
      <c r="C6" s="85"/>
      <c r="D6" s="85"/>
      <c r="E6" s="85"/>
      <c r="F6" s="85"/>
      <c r="G6" s="87"/>
      <c r="H6" s="85"/>
      <c r="I6" s="87"/>
      <c r="J6" s="87"/>
      <c r="K6" s="87"/>
      <c r="L6" s="87"/>
      <c r="M6" s="67"/>
    </row>
    <row r="7" spans="1:13" s="8" customFormat="1" ht="45" customHeight="1" thickBot="1" x14ac:dyDescent="0.3">
      <c r="A7" s="3"/>
      <c r="B7" s="7" t="s">
        <v>352</v>
      </c>
      <c r="C7" s="2" t="s">
        <v>283</v>
      </c>
      <c r="D7" s="16" t="s">
        <v>330</v>
      </c>
      <c r="E7" s="2" t="s">
        <v>311</v>
      </c>
      <c r="F7" s="2" t="s">
        <v>210</v>
      </c>
      <c r="G7" s="2">
        <v>5</v>
      </c>
      <c r="H7" s="4" t="s">
        <v>319</v>
      </c>
      <c r="I7" s="2">
        <v>962.28300000000002</v>
      </c>
      <c r="J7" s="2" t="s">
        <v>154</v>
      </c>
      <c r="K7" s="12"/>
      <c r="L7" s="6"/>
    </row>
    <row r="8" spans="1:13" s="8" customFormat="1" ht="45" customHeight="1" thickBot="1" x14ac:dyDescent="0.3">
      <c r="A8" s="3"/>
      <c r="B8" s="7" t="s">
        <v>352</v>
      </c>
      <c r="C8" s="2" t="s">
        <v>331</v>
      </c>
      <c r="D8" s="16" t="s">
        <v>330</v>
      </c>
      <c r="E8" s="2" t="s">
        <v>311</v>
      </c>
      <c r="F8" s="2" t="s">
        <v>210</v>
      </c>
      <c r="G8" s="2">
        <v>5</v>
      </c>
      <c r="H8" s="4" t="s">
        <v>319</v>
      </c>
      <c r="I8" s="2">
        <v>2197.1799999999998</v>
      </c>
      <c r="J8" s="2" t="s">
        <v>154</v>
      </c>
      <c r="K8" s="12"/>
      <c r="L8" s="6"/>
      <c r="M8" s="8" t="s">
        <v>444</v>
      </c>
    </row>
    <row r="9" spans="1:13" s="8" customFormat="1" ht="45" customHeight="1" thickBot="1" x14ac:dyDescent="0.3">
      <c r="A9" s="3"/>
      <c r="B9" s="7" t="s">
        <v>352</v>
      </c>
      <c r="C9" s="2" t="s">
        <v>331</v>
      </c>
      <c r="D9" s="16" t="s">
        <v>330</v>
      </c>
      <c r="E9" s="2" t="s">
        <v>311</v>
      </c>
      <c r="F9" s="2" t="s">
        <v>210</v>
      </c>
      <c r="G9" s="2">
        <v>3</v>
      </c>
      <c r="H9" s="4" t="s">
        <v>319</v>
      </c>
      <c r="I9" s="2">
        <v>330.38900000000001</v>
      </c>
      <c r="J9" s="2" t="s">
        <v>154</v>
      </c>
      <c r="K9" s="12"/>
      <c r="L9" s="6"/>
    </row>
    <row r="10" spans="1:13" s="8" customFormat="1" ht="45" customHeight="1" thickBot="1" x14ac:dyDescent="0.3">
      <c r="A10" s="3"/>
      <c r="B10" s="7" t="s">
        <v>352</v>
      </c>
      <c r="C10" s="2" t="s">
        <v>331</v>
      </c>
      <c r="D10" s="16" t="s">
        <v>330</v>
      </c>
      <c r="E10" s="2" t="s">
        <v>311</v>
      </c>
      <c r="F10" s="10" t="s">
        <v>445</v>
      </c>
      <c r="G10" s="2">
        <v>5</v>
      </c>
      <c r="H10" s="4" t="s">
        <v>319</v>
      </c>
      <c r="I10" s="56">
        <f>1574.134+1095.74+419.32</f>
        <v>3089.194</v>
      </c>
      <c r="J10" s="2" t="s">
        <v>154</v>
      </c>
      <c r="K10" s="12"/>
      <c r="L10" s="6"/>
      <c r="M10" s="46" t="s">
        <v>446</v>
      </c>
    </row>
    <row r="11" spans="1:13" s="8" customFormat="1" ht="45" customHeight="1" thickBot="1" x14ac:dyDescent="0.3">
      <c r="A11" s="3"/>
      <c r="B11" s="7" t="s">
        <v>257</v>
      </c>
      <c r="C11" s="2" t="s">
        <v>337</v>
      </c>
      <c r="D11" s="16" t="s">
        <v>332</v>
      </c>
      <c r="E11" s="2" t="s">
        <v>311</v>
      </c>
      <c r="F11" s="2" t="s">
        <v>198</v>
      </c>
      <c r="G11" s="2">
        <v>5</v>
      </c>
      <c r="H11" s="4" t="s">
        <v>321</v>
      </c>
      <c r="I11" s="2">
        <v>692.93</v>
      </c>
      <c r="J11" s="2" t="s">
        <v>34</v>
      </c>
      <c r="K11" s="12"/>
      <c r="L11" s="6"/>
    </row>
    <row r="12" spans="1:13" s="8" customFormat="1" ht="45" customHeight="1" thickBot="1" x14ac:dyDescent="0.3">
      <c r="A12" s="3"/>
      <c r="B12" s="7" t="s">
        <v>257</v>
      </c>
      <c r="C12" s="2" t="s">
        <v>337</v>
      </c>
      <c r="D12" s="16" t="s">
        <v>333</v>
      </c>
      <c r="E12" s="2" t="s">
        <v>311</v>
      </c>
      <c r="F12" s="2" t="s">
        <v>198</v>
      </c>
      <c r="G12" s="2">
        <v>5</v>
      </c>
      <c r="H12" s="4" t="s">
        <v>321</v>
      </c>
      <c r="I12" s="2">
        <v>137.81</v>
      </c>
      <c r="J12" s="2" t="s">
        <v>34</v>
      </c>
      <c r="K12" s="12"/>
      <c r="L12" s="6"/>
    </row>
    <row r="13" spans="1:13" s="8" customFormat="1" ht="45" customHeight="1" thickBot="1" x14ac:dyDescent="0.3">
      <c r="A13" s="3"/>
      <c r="B13" s="7" t="s">
        <v>257</v>
      </c>
      <c r="C13" s="2" t="s">
        <v>337</v>
      </c>
      <c r="D13" s="16" t="s">
        <v>334</v>
      </c>
      <c r="E13" s="2" t="s">
        <v>311</v>
      </c>
      <c r="F13" s="2" t="s">
        <v>198</v>
      </c>
      <c r="G13" s="2">
        <v>5</v>
      </c>
      <c r="H13" s="4" t="s">
        <v>321</v>
      </c>
      <c r="I13" s="2">
        <v>567.52</v>
      </c>
      <c r="J13" s="2" t="s">
        <v>34</v>
      </c>
      <c r="K13" s="12"/>
      <c r="L13" s="6"/>
    </row>
    <row r="14" spans="1:13" s="8" customFormat="1" ht="45" customHeight="1" thickBot="1" x14ac:dyDescent="0.3">
      <c r="A14" s="3"/>
      <c r="B14" s="7" t="s">
        <v>257</v>
      </c>
      <c r="C14" s="2" t="s">
        <v>337</v>
      </c>
      <c r="D14" s="16" t="s">
        <v>335</v>
      </c>
      <c r="E14" s="2" t="s">
        <v>311</v>
      </c>
      <c r="F14" s="2" t="s">
        <v>198</v>
      </c>
      <c r="G14" s="2">
        <v>5</v>
      </c>
      <c r="H14" s="4" t="s">
        <v>319</v>
      </c>
      <c r="I14" s="2">
        <v>765.52</v>
      </c>
      <c r="J14" s="2" t="s">
        <v>154</v>
      </c>
      <c r="K14" s="12"/>
      <c r="L14" s="6"/>
    </row>
    <row r="15" spans="1:13" s="8" customFormat="1" ht="45" customHeight="1" thickBot="1" x14ac:dyDescent="0.3">
      <c r="A15" s="3"/>
      <c r="B15" s="7" t="s">
        <v>257</v>
      </c>
      <c r="C15" s="2" t="s">
        <v>144</v>
      </c>
      <c r="D15" s="16" t="s">
        <v>336</v>
      </c>
      <c r="E15" s="2" t="s">
        <v>311</v>
      </c>
      <c r="F15" s="2" t="s">
        <v>198</v>
      </c>
      <c r="G15" s="2">
        <v>3</v>
      </c>
      <c r="H15" s="4" t="s">
        <v>338</v>
      </c>
      <c r="I15" s="2">
        <v>29.79</v>
      </c>
      <c r="J15" s="2" t="s">
        <v>154</v>
      </c>
      <c r="K15" s="12"/>
      <c r="L15" s="6"/>
    </row>
    <row r="16" spans="1:13" s="8" customFormat="1" ht="45" customHeight="1" thickBot="1" x14ac:dyDescent="0.3">
      <c r="A16" s="3"/>
      <c r="B16" s="7" t="s">
        <v>257</v>
      </c>
      <c r="C16" s="2" t="s">
        <v>35</v>
      </c>
      <c r="D16" s="16" t="s">
        <v>340</v>
      </c>
      <c r="E16" s="2" t="s">
        <v>311</v>
      </c>
      <c r="F16" s="2" t="s">
        <v>179</v>
      </c>
      <c r="G16" s="2">
        <v>5</v>
      </c>
      <c r="H16" s="4" t="s">
        <v>321</v>
      </c>
      <c r="I16" s="2">
        <v>485.35</v>
      </c>
      <c r="J16" s="2" t="s">
        <v>34</v>
      </c>
      <c r="K16" s="12"/>
      <c r="L16" s="6"/>
    </row>
    <row r="17" spans="1:13" s="8" customFormat="1" ht="45" customHeight="1" thickBot="1" x14ac:dyDescent="0.3">
      <c r="A17" s="3"/>
      <c r="B17" s="7" t="s">
        <v>257</v>
      </c>
      <c r="C17" s="2" t="s">
        <v>339</v>
      </c>
      <c r="D17" s="16" t="s">
        <v>332</v>
      </c>
      <c r="E17" s="2" t="s">
        <v>311</v>
      </c>
      <c r="F17" s="2" t="s">
        <v>179</v>
      </c>
      <c r="G17" s="2">
        <v>5</v>
      </c>
      <c r="H17" s="4" t="s">
        <v>321</v>
      </c>
      <c r="I17" s="2">
        <v>302.798</v>
      </c>
      <c r="J17" s="2" t="s">
        <v>34</v>
      </c>
      <c r="K17" s="12"/>
      <c r="L17" s="6"/>
    </row>
    <row r="18" spans="1:13" s="8" customFormat="1" ht="45" customHeight="1" thickBot="1" x14ac:dyDescent="0.3">
      <c r="A18" s="3"/>
      <c r="B18" s="7" t="s">
        <v>352</v>
      </c>
      <c r="C18" s="2" t="s">
        <v>331</v>
      </c>
      <c r="D18" s="16" t="s">
        <v>330</v>
      </c>
      <c r="E18" s="2" t="s">
        <v>353</v>
      </c>
      <c r="F18" s="2" t="s">
        <v>225</v>
      </c>
      <c r="G18" s="2">
        <v>5</v>
      </c>
      <c r="H18" s="4" t="s">
        <v>319</v>
      </c>
      <c r="I18" s="2">
        <f>628.913+110.05785</f>
        <v>738.97085000000004</v>
      </c>
      <c r="J18" s="2" t="s">
        <v>154</v>
      </c>
      <c r="K18" s="12"/>
      <c r="L18" s="6"/>
    </row>
    <row r="19" spans="1:13" s="8" customFormat="1" ht="45" customHeight="1" thickBot="1" x14ac:dyDescent="0.3">
      <c r="A19" s="3"/>
      <c r="B19" s="7" t="s">
        <v>352</v>
      </c>
      <c r="C19" s="2" t="s">
        <v>141</v>
      </c>
      <c r="D19" s="16" t="s">
        <v>330</v>
      </c>
      <c r="E19" s="2" t="s">
        <v>353</v>
      </c>
      <c r="F19" s="2" t="s">
        <v>210</v>
      </c>
      <c r="G19" s="2">
        <v>5</v>
      </c>
      <c r="H19" s="4" t="s">
        <v>319</v>
      </c>
      <c r="I19" s="2">
        <f>+(2002+145.61785)-23.68</f>
        <v>2123.9378500000003</v>
      </c>
      <c r="J19" s="2" t="s">
        <v>154</v>
      </c>
      <c r="K19" s="12"/>
      <c r="L19" s="6"/>
    </row>
    <row r="20" spans="1:13" s="8" customFormat="1" ht="45" customHeight="1" thickBot="1" x14ac:dyDescent="0.3">
      <c r="A20" s="3"/>
      <c r="B20" s="7" t="s">
        <v>257</v>
      </c>
      <c r="C20" s="2" t="s">
        <v>35</v>
      </c>
      <c r="D20" s="16" t="s">
        <v>381</v>
      </c>
      <c r="E20" s="2" t="s">
        <v>311</v>
      </c>
      <c r="F20" s="2" t="s">
        <v>255</v>
      </c>
      <c r="G20" s="2">
        <v>5</v>
      </c>
      <c r="H20" s="4" t="s">
        <v>321</v>
      </c>
      <c r="I20" s="2">
        <v>179.94</v>
      </c>
      <c r="J20" s="2" t="s">
        <v>34</v>
      </c>
      <c r="K20" s="12"/>
      <c r="L20" s="6"/>
    </row>
    <row r="21" spans="1:13" s="8" customFormat="1" ht="45" customHeight="1" thickBot="1" x14ac:dyDescent="0.3">
      <c r="A21" s="3"/>
      <c r="B21" s="7" t="s">
        <v>352</v>
      </c>
      <c r="C21" s="2" t="s">
        <v>384</v>
      </c>
      <c r="D21" s="16" t="s">
        <v>330</v>
      </c>
      <c r="E21" s="2" t="s">
        <v>311</v>
      </c>
      <c r="F21" s="2" t="s">
        <v>238</v>
      </c>
      <c r="G21" s="2">
        <v>2</v>
      </c>
      <c r="H21" s="4" t="s">
        <v>338</v>
      </c>
      <c r="I21" s="2">
        <v>279.142</v>
      </c>
      <c r="J21" s="2" t="s">
        <v>154</v>
      </c>
      <c r="K21" s="12"/>
      <c r="L21" s="6"/>
      <c r="M21" s="46" t="s">
        <v>385</v>
      </c>
    </row>
    <row r="22" spans="1:13" s="8" customFormat="1" ht="45" customHeight="1" thickBot="1" x14ac:dyDescent="0.3">
      <c r="A22" s="3"/>
      <c r="B22" s="7" t="s">
        <v>352</v>
      </c>
      <c r="C22" s="2" t="s">
        <v>141</v>
      </c>
      <c r="D22" s="16" t="s">
        <v>330</v>
      </c>
      <c r="E22" s="2" t="s">
        <v>311</v>
      </c>
      <c r="F22" s="2" t="s">
        <v>238</v>
      </c>
      <c r="G22" s="2">
        <v>4</v>
      </c>
      <c r="H22" s="4" t="s">
        <v>319</v>
      </c>
      <c r="I22" s="2">
        <v>3143.692</v>
      </c>
      <c r="J22" s="2" t="s">
        <v>154</v>
      </c>
      <c r="K22" s="12"/>
      <c r="L22" s="6"/>
      <c r="M22" s="46"/>
    </row>
    <row r="23" spans="1:13" s="8" customFormat="1" ht="57.75" thickBot="1" x14ac:dyDescent="0.3">
      <c r="A23" s="3"/>
      <c r="B23" s="7" t="s">
        <v>393</v>
      </c>
      <c r="C23" s="2" t="s">
        <v>283</v>
      </c>
      <c r="D23" s="16" t="s">
        <v>394</v>
      </c>
      <c r="E23" s="2" t="s">
        <v>311</v>
      </c>
      <c r="F23" s="2" t="s">
        <v>392</v>
      </c>
      <c r="G23" s="2">
        <v>5</v>
      </c>
      <c r="H23" s="4" t="s">
        <v>319</v>
      </c>
      <c r="I23" s="2">
        <v>87.722999999999999</v>
      </c>
      <c r="J23" s="2" t="s">
        <v>154</v>
      </c>
      <c r="K23" s="12"/>
      <c r="L23" s="6"/>
      <c r="M23" s="46"/>
    </row>
    <row r="24" spans="1:13" s="8" customFormat="1" ht="45" customHeight="1" thickBot="1" x14ac:dyDescent="0.3">
      <c r="A24" s="3"/>
      <c r="B24" s="7" t="s">
        <v>352</v>
      </c>
      <c r="C24" s="2" t="s">
        <v>283</v>
      </c>
      <c r="D24" s="16" t="s">
        <v>330</v>
      </c>
      <c r="E24" s="2" t="s">
        <v>311</v>
      </c>
      <c r="F24" s="2" t="s">
        <v>431</v>
      </c>
      <c r="G24" s="2">
        <v>5</v>
      </c>
      <c r="H24" s="4" t="s">
        <v>319</v>
      </c>
      <c r="I24" s="2">
        <v>901.11</v>
      </c>
      <c r="J24" s="2" t="s">
        <v>154</v>
      </c>
      <c r="K24" s="12"/>
      <c r="L24" s="6"/>
      <c r="M24" s="46"/>
    </row>
    <row r="25" spans="1:13" s="8" customFormat="1" ht="45" customHeight="1" thickBot="1" x14ac:dyDescent="0.3">
      <c r="A25" s="3"/>
      <c r="B25" s="7" t="s">
        <v>352</v>
      </c>
      <c r="C25" s="2" t="s">
        <v>141</v>
      </c>
      <c r="D25" s="16" t="s">
        <v>330</v>
      </c>
      <c r="E25" s="2" t="s">
        <v>311</v>
      </c>
      <c r="F25" s="2" t="s">
        <v>431</v>
      </c>
      <c r="G25" s="2">
        <v>5</v>
      </c>
      <c r="H25" s="4" t="s">
        <v>319</v>
      </c>
      <c r="I25" s="2">
        <v>699.65</v>
      </c>
      <c r="J25" s="2" t="s">
        <v>154</v>
      </c>
      <c r="K25" s="12"/>
      <c r="L25" s="6"/>
      <c r="M25" s="46"/>
    </row>
    <row r="26" spans="1:13" s="55" customFormat="1" ht="45" customHeight="1" thickBot="1" x14ac:dyDescent="0.3">
      <c r="A26" s="57"/>
      <c r="B26" s="58" t="s">
        <v>352</v>
      </c>
      <c r="C26" s="59" t="s">
        <v>331</v>
      </c>
      <c r="D26" s="60" t="s">
        <v>330</v>
      </c>
      <c r="E26" s="59" t="s">
        <v>311</v>
      </c>
      <c r="F26" s="59" t="s">
        <v>240</v>
      </c>
      <c r="G26" s="59">
        <v>5</v>
      </c>
      <c r="H26" s="61" t="s">
        <v>386</v>
      </c>
      <c r="I26" s="59">
        <v>99.543999999999997</v>
      </c>
      <c r="J26" s="59" t="s">
        <v>154</v>
      </c>
      <c r="K26" s="62"/>
      <c r="L26" s="63"/>
      <c r="M26" s="64" t="s">
        <v>432</v>
      </c>
    </row>
    <row r="27" spans="1:13" s="55" customFormat="1" ht="45" customHeight="1" thickBot="1" x14ac:dyDescent="0.3">
      <c r="A27" s="57"/>
      <c r="B27" s="58" t="s">
        <v>352</v>
      </c>
      <c r="C27" s="59" t="s">
        <v>283</v>
      </c>
      <c r="D27" s="60" t="s">
        <v>330</v>
      </c>
      <c r="E27" s="59" t="s">
        <v>311</v>
      </c>
      <c r="F27" s="59" t="s">
        <v>240</v>
      </c>
      <c r="G27" s="59">
        <v>5</v>
      </c>
      <c r="H27" s="61" t="s">
        <v>386</v>
      </c>
      <c r="I27" s="59">
        <v>244.40700000000001</v>
      </c>
      <c r="J27" s="59" t="s">
        <v>154</v>
      </c>
      <c r="K27" s="62"/>
      <c r="L27" s="63"/>
      <c r="M27" s="64" t="s">
        <v>432</v>
      </c>
    </row>
    <row r="28" spans="1:13" s="55" customFormat="1" ht="45" customHeight="1" thickBot="1" x14ac:dyDescent="0.3">
      <c r="A28" s="57"/>
      <c r="B28" s="58" t="s">
        <v>352</v>
      </c>
      <c r="C28" s="59" t="s">
        <v>141</v>
      </c>
      <c r="D28" s="60" t="s">
        <v>330</v>
      </c>
      <c r="E28" s="59" t="s">
        <v>311</v>
      </c>
      <c r="F28" s="59" t="s">
        <v>240</v>
      </c>
      <c r="G28" s="59">
        <v>5</v>
      </c>
      <c r="H28" s="61" t="s">
        <v>386</v>
      </c>
      <c r="I28" s="59">
        <v>570.45799999999997</v>
      </c>
      <c r="J28" s="59" t="s">
        <v>154</v>
      </c>
      <c r="K28" s="62"/>
      <c r="L28" s="63"/>
      <c r="M28" s="64" t="s">
        <v>432</v>
      </c>
    </row>
    <row r="29" spans="1:13" s="8" customFormat="1" ht="45" customHeight="1" thickBot="1" x14ac:dyDescent="0.3">
      <c r="A29" s="3"/>
      <c r="B29" s="7" t="s">
        <v>393</v>
      </c>
      <c r="C29" s="7" t="s">
        <v>283</v>
      </c>
      <c r="D29" s="10" t="s">
        <v>441</v>
      </c>
      <c r="E29" s="65" t="s">
        <v>311</v>
      </c>
      <c r="F29" s="2" t="s">
        <v>442</v>
      </c>
      <c r="G29" s="2">
        <v>5</v>
      </c>
      <c r="H29" s="7" t="s">
        <v>443</v>
      </c>
      <c r="I29" s="4">
        <v>460.59</v>
      </c>
      <c r="J29" s="2" t="s">
        <v>154</v>
      </c>
      <c r="K29" s="2"/>
      <c r="L29" s="12"/>
      <c r="M29" s="6"/>
    </row>
    <row r="30" spans="1:13" s="8" customFormat="1" ht="45" customHeight="1" thickBot="1" x14ac:dyDescent="0.3">
      <c r="A30" s="3"/>
      <c r="B30" s="7" t="s">
        <v>352</v>
      </c>
      <c r="C30" s="4" t="s">
        <v>331</v>
      </c>
      <c r="D30" s="2" t="s">
        <v>330</v>
      </c>
      <c r="E30" s="65" t="s">
        <v>311</v>
      </c>
      <c r="F30" s="2" t="s">
        <v>447</v>
      </c>
      <c r="G30" s="2">
        <v>5</v>
      </c>
      <c r="H30" s="7" t="s">
        <v>448</v>
      </c>
      <c r="I30" s="4">
        <f>674.83+21.81</f>
        <v>696.64</v>
      </c>
      <c r="J30" s="2" t="s">
        <v>154</v>
      </c>
      <c r="K30" s="2"/>
      <c r="L30" s="12"/>
      <c r="M30" s="27" t="s">
        <v>449</v>
      </c>
    </row>
    <row r="31" spans="1:13" s="8" customFormat="1" ht="45" customHeight="1" thickBot="1" x14ac:dyDescent="0.3">
      <c r="A31" s="3"/>
      <c r="B31" s="7" t="s">
        <v>352</v>
      </c>
      <c r="C31" s="4" t="s">
        <v>331</v>
      </c>
      <c r="D31" s="2" t="s">
        <v>330</v>
      </c>
      <c r="E31" s="65" t="s">
        <v>311</v>
      </c>
      <c r="F31" s="2" t="s">
        <v>447</v>
      </c>
      <c r="G31" s="2">
        <v>5</v>
      </c>
      <c r="H31" s="7" t="s">
        <v>450</v>
      </c>
      <c r="I31" s="4">
        <v>158.57</v>
      </c>
      <c r="J31" s="2" t="s">
        <v>154</v>
      </c>
      <c r="K31" s="2"/>
      <c r="L31" s="12"/>
      <c r="M31" s="6" t="s">
        <v>451</v>
      </c>
    </row>
    <row r="32" spans="1:13" s="8" customFormat="1" ht="45" customHeight="1" thickBot="1" x14ac:dyDescent="0.3">
      <c r="A32" s="3"/>
      <c r="B32" s="7" t="s">
        <v>393</v>
      </c>
      <c r="C32" s="4" t="s">
        <v>491</v>
      </c>
      <c r="D32" s="2" t="s">
        <v>492</v>
      </c>
      <c r="E32" s="65" t="s">
        <v>311</v>
      </c>
      <c r="F32" s="2" t="s">
        <v>297</v>
      </c>
      <c r="G32" s="2">
        <v>5</v>
      </c>
      <c r="H32" s="7" t="s">
        <v>493</v>
      </c>
      <c r="I32" s="4">
        <v>176.92</v>
      </c>
      <c r="J32" s="2" t="s">
        <v>154</v>
      </c>
      <c r="K32" s="2"/>
      <c r="L32" s="12"/>
      <c r="M32" s="6"/>
    </row>
    <row r="33" spans="1:13" s="8" customFormat="1" ht="45" customHeight="1" thickBot="1" x14ac:dyDescent="0.3">
      <c r="A33" s="3"/>
      <c r="B33" s="7" t="s">
        <v>393</v>
      </c>
      <c r="C33" s="4" t="s">
        <v>491</v>
      </c>
      <c r="D33" s="2" t="s">
        <v>492</v>
      </c>
      <c r="E33" s="65" t="s">
        <v>311</v>
      </c>
      <c r="F33" s="2" t="s">
        <v>297</v>
      </c>
      <c r="G33" s="2">
        <v>3</v>
      </c>
      <c r="H33" s="7" t="s">
        <v>494</v>
      </c>
      <c r="I33" s="4">
        <v>250.31</v>
      </c>
      <c r="J33" s="2" t="s">
        <v>154</v>
      </c>
      <c r="K33" s="2"/>
      <c r="L33" s="12"/>
      <c r="M33" s="6"/>
    </row>
    <row r="34" spans="1:13" s="8" customFormat="1" ht="45" customHeight="1" thickBot="1" x14ac:dyDescent="0.3">
      <c r="A34" s="3"/>
      <c r="B34" s="7" t="s">
        <v>393</v>
      </c>
      <c r="C34" s="4" t="s">
        <v>331</v>
      </c>
      <c r="D34" s="2" t="s">
        <v>492</v>
      </c>
      <c r="E34" s="65" t="s">
        <v>311</v>
      </c>
      <c r="F34" s="2" t="s">
        <v>504</v>
      </c>
      <c r="G34" s="2">
        <v>5</v>
      </c>
      <c r="H34" s="7"/>
      <c r="I34" s="4">
        <v>329.23</v>
      </c>
      <c r="J34" s="2" t="s">
        <v>154</v>
      </c>
      <c r="K34" s="2"/>
      <c r="L34" s="12"/>
      <c r="M34" s="6"/>
    </row>
    <row r="35" spans="1:13" s="8" customFormat="1" ht="45" customHeight="1" thickBot="1" x14ac:dyDescent="0.3">
      <c r="A35" s="3"/>
      <c r="B35" s="7" t="s">
        <v>257</v>
      </c>
      <c r="C35" s="4" t="s">
        <v>331</v>
      </c>
      <c r="D35" s="7" t="s">
        <v>257</v>
      </c>
      <c r="E35" s="65" t="s">
        <v>311</v>
      </c>
      <c r="F35" s="2" t="s">
        <v>504</v>
      </c>
      <c r="G35" s="2">
        <v>1</v>
      </c>
      <c r="H35" s="7"/>
      <c r="I35" s="4">
        <v>148.66999999999999</v>
      </c>
      <c r="J35" s="2" t="s">
        <v>154</v>
      </c>
      <c r="K35" s="2"/>
      <c r="L35" s="12"/>
      <c r="M35" s="6"/>
    </row>
    <row r="36" spans="1:13" s="8" customFormat="1" ht="45" customHeight="1" thickBot="1" x14ac:dyDescent="0.3">
      <c r="A36" s="3"/>
      <c r="B36" s="7" t="s">
        <v>352</v>
      </c>
      <c r="C36" s="4" t="s">
        <v>491</v>
      </c>
      <c r="D36" s="16" t="s">
        <v>330</v>
      </c>
      <c r="E36" s="65" t="s">
        <v>311</v>
      </c>
      <c r="F36" s="2" t="s">
        <v>505</v>
      </c>
      <c r="G36" s="2">
        <v>4</v>
      </c>
      <c r="H36" s="7" t="s">
        <v>506</v>
      </c>
      <c r="I36" s="4">
        <v>553.07000000000005</v>
      </c>
      <c r="J36" s="2" t="s">
        <v>154</v>
      </c>
      <c r="K36" s="2"/>
      <c r="L36" s="12"/>
      <c r="M36" s="6"/>
    </row>
    <row r="37" spans="1:13" s="8" customFormat="1" ht="45" customHeight="1" thickBot="1" x14ac:dyDescent="0.3">
      <c r="A37" s="3"/>
      <c r="B37" s="7" t="s">
        <v>393</v>
      </c>
      <c r="C37" s="4" t="s">
        <v>331</v>
      </c>
      <c r="D37" s="15" t="s">
        <v>492</v>
      </c>
      <c r="E37" s="65" t="s">
        <v>311</v>
      </c>
      <c r="F37" s="2" t="s">
        <v>301</v>
      </c>
      <c r="G37" s="2">
        <v>5</v>
      </c>
      <c r="H37" s="7"/>
      <c r="I37" s="4">
        <v>444.24</v>
      </c>
      <c r="J37" s="2" t="s">
        <v>154</v>
      </c>
      <c r="K37" s="2"/>
      <c r="L37" s="12"/>
      <c r="M37" s="6"/>
    </row>
    <row r="38" spans="1:13" ht="45" customHeight="1" thickBot="1" x14ac:dyDescent="0.3">
      <c r="A38" s="3"/>
      <c r="B38" s="7" t="s">
        <v>393</v>
      </c>
      <c r="C38" s="4" t="s">
        <v>331</v>
      </c>
      <c r="D38" s="15" t="s">
        <v>492</v>
      </c>
      <c r="E38" s="65" t="s">
        <v>311</v>
      </c>
      <c r="F38" s="2" t="s">
        <v>301</v>
      </c>
      <c r="G38" s="2">
        <v>2</v>
      </c>
      <c r="H38" s="7" t="s">
        <v>319</v>
      </c>
      <c r="I38" s="4">
        <v>23.31</v>
      </c>
      <c r="J38" s="2" t="s">
        <v>154</v>
      </c>
      <c r="K38" s="4"/>
      <c r="L38" s="11"/>
      <c r="M38" s="5"/>
    </row>
    <row r="39" spans="1:13" ht="45" customHeight="1" thickBot="1" x14ac:dyDescent="0.3">
      <c r="A39" s="3"/>
      <c r="B39" s="7" t="s">
        <v>507</v>
      </c>
      <c r="C39" s="4" t="s">
        <v>507</v>
      </c>
      <c r="D39" s="15" t="s">
        <v>508</v>
      </c>
      <c r="E39" s="65" t="s">
        <v>311</v>
      </c>
      <c r="F39" s="2" t="s">
        <v>509</v>
      </c>
      <c r="G39" s="2">
        <v>2</v>
      </c>
      <c r="H39" s="7" t="s">
        <v>370</v>
      </c>
      <c r="I39" s="4">
        <v>12.85</v>
      </c>
      <c r="J39" s="2" t="s">
        <v>154</v>
      </c>
      <c r="K39" s="4"/>
      <c r="L39" s="11"/>
      <c r="M39" s="5"/>
    </row>
    <row r="40" spans="1:13" s="8" customFormat="1" ht="45" customHeight="1" thickBot="1" x14ac:dyDescent="0.3">
      <c r="A40" s="3"/>
      <c r="B40" s="7" t="s">
        <v>507</v>
      </c>
      <c r="C40" s="4" t="s">
        <v>507</v>
      </c>
      <c r="D40" s="15" t="s">
        <v>510</v>
      </c>
      <c r="E40" s="65" t="s">
        <v>311</v>
      </c>
      <c r="F40" s="2" t="s">
        <v>509</v>
      </c>
      <c r="G40" s="2">
        <v>5</v>
      </c>
      <c r="H40" s="7"/>
      <c r="I40" s="4">
        <v>478.61</v>
      </c>
      <c r="J40" s="2" t="s">
        <v>154</v>
      </c>
      <c r="K40" s="2"/>
      <c r="L40" s="12"/>
      <c r="M40" s="6"/>
    </row>
    <row r="41" spans="1:13" s="8" customFormat="1" ht="45" customHeight="1" thickBot="1" x14ac:dyDescent="0.3">
      <c r="A41" s="3"/>
      <c r="B41" s="7" t="s">
        <v>507</v>
      </c>
      <c r="C41" s="4" t="s">
        <v>507</v>
      </c>
      <c r="D41" s="15" t="s">
        <v>511</v>
      </c>
      <c r="E41" s="65" t="s">
        <v>311</v>
      </c>
      <c r="F41" s="2" t="s">
        <v>509</v>
      </c>
      <c r="G41" s="2">
        <v>1</v>
      </c>
      <c r="H41" s="7"/>
      <c r="I41" s="4">
        <v>95.72</v>
      </c>
      <c r="J41" s="2" t="s">
        <v>154</v>
      </c>
      <c r="K41" s="2"/>
      <c r="L41" s="12"/>
      <c r="M41" s="6"/>
    </row>
    <row r="42" spans="1:13" ht="45" customHeight="1" thickBot="1" x14ac:dyDescent="0.3">
      <c r="A42" s="9"/>
      <c r="B42" s="7" t="s">
        <v>507</v>
      </c>
      <c r="C42" s="4" t="s">
        <v>507</v>
      </c>
      <c r="D42" s="15" t="s">
        <v>510</v>
      </c>
      <c r="E42" s="65" t="s">
        <v>311</v>
      </c>
      <c r="F42" s="2" t="s">
        <v>509</v>
      </c>
      <c r="G42" s="2">
        <v>3</v>
      </c>
      <c r="H42" s="7"/>
      <c r="I42" s="4">
        <v>299.97000000000003</v>
      </c>
      <c r="J42" s="2" t="s">
        <v>154</v>
      </c>
      <c r="K42" s="4"/>
      <c r="L42" s="11"/>
      <c r="M42" s="5"/>
    </row>
    <row r="43" spans="1:13" ht="45" customHeight="1" thickBot="1" x14ac:dyDescent="0.3">
      <c r="A43" s="9"/>
      <c r="B43" s="7"/>
      <c r="C43" s="4"/>
      <c r="D43" s="15"/>
      <c r="E43" s="7"/>
      <c r="F43" s="2"/>
      <c r="G43" s="2"/>
      <c r="H43" s="7"/>
      <c r="I43" s="4"/>
      <c r="J43" s="4"/>
      <c r="K43" s="4"/>
      <c r="L43" s="11"/>
      <c r="M43" s="5"/>
    </row>
    <row r="44" spans="1:13" ht="45" customHeight="1" thickBot="1" x14ac:dyDescent="0.3">
      <c r="A44" s="9"/>
      <c r="B44" s="7"/>
      <c r="C44" s="4"/>
      <c r="D44" s="15"/>
      <c r="E44" s="7"/>
      <c r="F44" s="2"/>
      <c r="G44" s="2"/>
      <c r="H44" s="7"/>
      <c r="I44" s="4"/>
      <c r="J44" s="4"/>
      <c r="K44" s="4"/>
      <c r="L44" s="11"/>
      <c r="M44" s="5"/>
    </row>
    <row r="45" spans="1:13" ht="45" customHeight="1" thickBot="1" x14ac:dyDescent="0.3">
      <c r="A45" s="9"/>
      <c r="B45" s="7"/>
      <c r="C45" s="4"/>
      <c r="D45" s="15"/>
      <c r="E45" s="7"/>
      <c r="F45" s="2"/>
      <c r="G45" s="2"/>
      <c r="H45" s="7"/>
      <c r="I45" s="4"/>
      <c r="J45" s="4"/>
      <c r="K45" s="4"/>
      <c r="L45" s="11"/>
      <c r="M45" s="5"/>
    </row>
    <row r="46" spans="1:13" s="8" customFormat="1" ht="45" customHeight="1" thickBot="1" x14ac:dyDescent="0.3">
      <c r="A46" s="3"/>
      <c r="B46" s="7"/>
      <c r="C46" s="4"/>
      <c r="D46" s="15"/>
      <c r="E46" s="7"/>
      <c r="F46" s="2"/>
      <c r="G46" s="2"/>
      <c r="H46" s="7"/>
      <c r="I46" s="4"/>
      <c r="J46" s="4"/>
      <c r="K46" s="2"/>
      <c r="L46" s="12"/>
      <c r="M46" s="6"/>
    </row>
    <row r="47" spans="1:13" ht="45" customHeight="1" thickBot="1" x14ac:dyDescent="0.3">
      <c r="A47" s="9"/>
      <c r="B47" s="7"/>
      <c r="C47" s="4"/>
      <c r="D47" s="15"/>
      <c r="E47" s="7"/>
      <c r="F47" s="2"/>
      <c r="G47" s="2"/>
      <c r="H47" s="7"/>
      <c r="I47" s="4"/>
      <c r="J47" s="4"/>
      <c r="K47" s="4"/>
      <c r="L47" s="11"/>
      <c r="M47" s="5"/>
    </row>
    <row r="48" spans="1:13" ht="45" customHeight="1" thickBot="1" x14ac:dyDescent="0.3">
      <c r="A48" s="9"/>
      <c r="B48" s="7"/>
      <c r="C48" s="4"/>
      <c r="D48" s="15"/>
      <c r="E48" s="7"/>
      <c r="F48" s="2"/>
      <c r="G48" s="2"/>
      <c r="H48" s="7"/>
      <c r="I48" s="4"/>
      <c r="J48" s="4"/>
      <c r="K48" s="4"/>
      <c r="L48" s="11"/>
      <c r="M48" s="5"/>
    </row>
    <row r="49" spans="1:13" ht="45" customHeight="1" thickBot="1" x14ac:dyDescent="0.3">
      <c r="A49" s="9"/>
      <c r="B49" s="7"/>
      <c r="C49" s="4"/>
      <c r="D49" s="15"/>
      <c r="E49" s="7"/>
      <c r="F49" s="2"/>
      <c r="G49" s="2"/>
      <c r="H49" s="7"/>
      <c r="I49" s="4"/>
      <c r="J49" s="4"/>
      <c r="K49" s="4"/>
      <c r="L49" s="11"/>
      <c r="M49" s="5"/>
    </row>
    <row r="50" spans="1:13" ht="45" customHeight="1" thickBot="1" x14ac:dyDescent="0.3">
      <c r="A50" s="9"/>
      <c r="B50" s="7"/>
      <c r="C50" s="4"/>
      <c r="D50" s="15"/>
      <c r="E50" s="7"/>
      <c r="F50" s="2"/>
      <c r="G50" s="2"/>
      <c r="H50" s="7"/>
      <c r="I50" s="4"/>
      <c r="J50" s="4"/>
      <c r="K50" s="4"/>
      <c r="L50" s="11"/>
      <c r="M50" s="5"/>
    </row>
    <row r="51" spans="1:13" s="8" customFormat="1" ht="45" customHeight="1" thickBot="1" x14ac:dyDescent="0.3">
      <c r="A51" s="3"/>
      <c r="B51" s="7"/>
      <c r="C51" s="4"/>
      <c r="D51" s="15"/>
      <c r="E51" s="7"/>
      <c r="F51" s="2"/>
      <c r="G51" s="2"/>
      <c r="H51" s="7"/>
      <c r="I51" s="4"/>
      <c r="J51" s="2"/>
      <c r="K51" s="2"/>
      <c r="L51" s="12"/>
      <c r="M51" s="6"/>
    </row>
    <row r="52" spans="1:13" s="8" customFormat="1" ht="45" customHeight="1" thickBot="1" x14ac:dyDescent="0.3">
      <c r="A52" s="3"/>
      <c r="B52" s="7"/>
      <c r="C52" s="4"/>
      <c r="D52" s="15"/>
      <c r="E52" s="7"/>
      <c r="F52" s="2"/>
      <c r="G52" s="2"/>
      <c r="H52" s="7"/>
      <c r="I52" s="4"/>
      <c r="J52" s="2"/>
      <c r="K52" s="2"/>
      <c r="L52" s="12"/>
      <c r="M52" s="6"/>
    </row>
    <row r="53" spans="1:13" s="8" customFormat="1" ht="45" customHeight="1" thickBot="1" x14ac:dyDescent="0.3">
      <c r="A53" s="3"/>
      <c r="B53" s="7"/>
      <c r="C53" s="4"/>
      <c r="D53" s="15"/>
      <c r="E53" s="7"/>
      <c r="F53" s="2"/>
      <c r="G53" s="2"/>
      <c r="H53" s="7"/>
      <c r="I53" s="4"/>
      <c r="J53" s="2"/>
      <c r="K53" s="2"/>
      <c r="L53" s="12"/>
      <c r="M53" s="6"/>
    </row>
    <row r="54" spans="1:13" s="8" customFormat="1" ht="45" customHeight="1" thickBot="1" x14ac:dyDescent="0.3">
      <c r="A54" s="3"/>
      <c r="B54" s="7"/>
      <c r="C54" s="4"/>
      <c r="D54" s="15"/>
      <c r="E54" s="7"/>
      <c r="F54" s="2"/>
      <c r="G54" s="2"/>
      <c r="H54" s="7"/>
      <c r="I54" s="4"/>
      <c r="J54" s="2"/>
      <c r="K54" s="2"/>
      <c r="L54" s="12"/>
      <c r="M54" s="6"/>
    </row>
    <row r="55" spans="1:13" s="8" customFormat="1" ht="45" customHeight="1" thickBot="1" x14ac:dyDescent="0.3">
      <c r="A55" s="3"/>
      <c r="B55" s="7"/>
      <c r="C55" s="4"/>
      <c r="D55" s="15"/>
      <c r="E55" s="7"/>
      <c r="F55" s="2"/>
      <c r="G55" s="2"/>
      <c r="H55" s="7"/>
      <c r="I55" s="4"/>
      <c r="J55" s="2"/>
      <c r="K55" s="2"/>
      <c r="L55" s="12"/>
      <c r="M55" s="6"/>
    </row>
    <row r="56" spans="1:13" s="8" customFormat="1" ht="45" customHeight="1" thickBot="1" x14ac:dyDescent="0.3">
      <c r="A56" s="3"/>
      <c r="B56" s="7"/>
      <c r="C56" s="4"/>
      <c r="D56" s="15"/>
      <c r="E56" s="7"/>
      <c r="F56" s="2"/>
      <c r="G56" s="2"/>
      <c r="H56" s="7"/>
      <c r="I56" s="4"/>
      <c r="J56" s="2"/>
      <c r="K56" s="2"/>
      <c r="L56" s="12"/>
      <c r="M56" s="6"/>
    </row>
    <row r="57" spans="1:13" s="8" customFormat="1" ht="45" customHeight="1" thickBot="1" x14ac:dyDescent="0.3">
      <c r="A57" s="3"/>
      <c r="B57" s="7"/>
      <c r="C57" s="4"/>
      <c r="D57" s="15"/>
      <c r="E57" s="7"/>
      <c r="F57" s="2"/>
      <c r="G57" s="2"/>
      <c r="H57" s="7"/>
      <c r="I57" s="4"/>
      <c r="J57" s="2"/>
      <c r="K57" s="2"/>
      <c r="L57" s="12"/>
      <c r="M57" s="6"/>
    </row>
    <row r="58" spans="1:13" s="8" customFormat="1" ht="45" customHeight="1" thickBot="1" x14ac:dyDescent="0.3">
      <c r="A58" s="3"/>
      <c r="B58" s="7"/>
      <c r="C58" s="4"/>
      <c r="D58" s="15"/>
      <c r="E58" s="7"/>
      <c r="F58" s="2"/>
      <c r="G58" s="2"/>
      <c r="H58" s="4"/>
      <c r="I58" s="4"/>
      <c r="J58" s="2"/>
      <c r="K58" s="2"/>
      <c r="L58" s="12"/>
      <c r="M58" s="6"/>
    </row>
    <row r="59" spans="1:13" s="8" customFormat="1" ht="45" customHeight="1" thickBot="1" x14ac:dyDescent="0.3">
      <c r="A59" s="3"/>
      <c r="B59" s="7"/>
      <c r="C59" s="4"/>
      <c r="D59" s="15"/>
      <c r="E59" s="7"/>
      <c r="F59" s="2"/>
      <c r="G59" s="2"/>
      <c r="H59" s="7"/>
      <c r="I59" s="4"/>
      <c r="J59" s="2"/>
      <c r="K59" s="2"/>
      <c r="L59" s="12"/>
      <c r="M59" s="6"/>
    </row>
    <row r="60" spans="1:13" s="8" customFormat="1" ht="45" customHeight="1" thickBot="1" x14ac:dyDescent="0.3">
      <c r="A60" s="3"/>
      <c r="B60" s="7"/>
      <c r="C60" s="4"/>
      <c r="D60" s="10"/>
      <c r="E60" s="7"/>
      <c r="F60" s="2"/>
      <c r="G60" s="2"/>
      <c r="H60" s="4"/>
      <c r="I60" s="4"/>
      <c r="J60" s="2"/>
      <c r="K60" s="2"/>
      <c r="L60" s="12"/>
      <c r="M60" s="6"/>
    </row>
    <row r="61" spans="1:13" s="8" customFormat="1" ht="45" customHeight="1" thickBot="1" x14ac:dyDescent="0.3">
      <c r="A61" s="3"/>
      <c r="B61" s="7"/>
      <c r="C61" s="2"/>
      <c r="D61" s="10"/>
      <c r="E61" s="7"/>
      <c r="F61" s="2"/>
      <c r="G61" s="2"/>
      <c r="H61" s="4"/>
      <c r="I61" s="4"/>
      <c r="J61" s="2"/>
      <c r="K61" s="2"/>
      <c r="L61" s="12"/>
      <c r="M61" s="6"/>
    </row>
    <row r="62" spans="1:13" s="8" customFormat="1" ht="45" customHeight="1" thickBot="1" x14ac:dyDescent="0.3">
      <c r="A62" s="3"/>
      <c r="B62" s="7"/>
      <c r="C62" s="2"/>
      <c r="D62" s="15"/>
      <c r="E62" s="7"/>
      <c r="F62" s="2"/>
      <c r="G62" s="2"/>
      <c r="H62" s="7"/>
      <c r="I62" s="4"/>
      <c r="J62" s="2"/>
      <c r="K62" s="2"/>
      <c r="L62" s="12"/>
      <c r="M62" s="6"/>
    </row>
    <row r="63" spans="1:13" s="8" customFormat="1" ht="15.75" thickBot="1" x14ac:dyDescent="0.3">
      <c r="A63" s="3"/>
      <c r="B63" s="7"/>
      <c r="C63" s="2"/>
      <c r="D63" s="14"/>
      <c r="E63" s="7"/>
      <c r="F63" s="2"/>
      <c r="G63" s="2"/>
      <c r="H63" s="7"/>
      <c r="I63" s="4"/>
      <c r="J63" s="2"/>
      <c r="K63" s="2"/>
      <c r="L63" s="12"/>
      <c r="M63" s="6"/>
    </row>
    <row r="64" spans="1:13" s="8" customFormat="1" ht="15.75" thickBot="1" x14ac:dyDescent="0.3">
      <c r="A64" s="3"/>
      <c r="B64" s="7"/>
      <c r="C64" s="2"/>
      <c r="D64" s="14"/>
      <c r="E64" s="7"/>
      <c r="F64" s="2"/>
      <c r="G64" s="2"/>
      <c r="H64" s="7"/>
      <c r="I64" s="4"/>
      <c r="J64" s="2"/>
      <c r="K64" s="2"/>
      <c r="L64" s="12"/>
      <c r="M64" s="6"/>
    </row>
    <row r="65" spans="1:13" s="8" customFormat="1" ht="45" customHeight="1" thickBot="1" x14ac:dyDescent="0.3">
      <c r="A65" s="3"/>
      <c r="B65" s="7"/>
      <c r="C65" s="4"/>
      <c r="D65" s="15"/>
      <c r="E65" s="7"/>
      <c r="F65" s="2"/>
      <c r="G65" s="2"/>
      <c r="H65" s="7"/>
      <c r="I65" s="4"/>
      <c r="J65" s="2"/>
      <c r="K65" s="2"/>
      <c r="L65" s="12"/>
      <c r="M65" s="6"/>
    </row>
    <row r="66" spans="1:13" s="8" customFormat="1" ht="45" customHeight="1" thickBot="1" x14ac:dyDescent="0.3">
      <c r="A66" s="3"/>
      <c r="B66" s="7"/>
      <c r="C66" s="4"/>
      <c r="D66" s="15"/>
      <c r="E66" s="7"/>
      <c r="F66" s="2"/>
      <c r="G66" s="2"/>
      <c r="H66" s="7"/>
      <c r="I66" s="4"/>
      <c r="J66" s="2"/>
      <c r="K66" s="2"/>
      <c r="L66" s="12"/>
      <c r="M66" s="6"/>
    </row>
    <row r="67" spans="1:13" s="8" customFormat="1" ht="45" customHeight="1" thickBot="1" x14ac:dyDescent="0.3">
      <c r="A67" s="3"/>
      <c r="B67" s="7"/>
      <c r="C67" s="4"/>
      <c r="D67" s="15"/>
      <c r="E67" s="7"/>
      <c r="F67" s="2"/>
      <c r="G67" s="2"/>
      <c r="H67" s="7"/>
      <c r="I67" s="4"/>
      <c r="J67" s="2"/>
      <c r="K67" s="2"/>
      <c r="L67" s="12"/>
      <c r="M67" s="6"/>
    </row>
    <row r="68" spans="1:13" s="8" customFormat="1" ht="45" customHeight="1" thickBot="1" x14ac:dyDescent="0.3">
      <c r="A68" s="3"/>
      <c r="B68" s="7"/>
      <c r="C68" s="4"/>
      <c r="D68" s="15"/>
      <c r="E68" s="7"/>
      <c r="F68" s="2"/>
      <c r="G68" s="2"/>
      <c r="H68" s="7"/>
      <c r="I68" s="4"/>
      <c r="J68" s="2"/>
      <c r="K68" s="2"/>
      <c r="L68" s="12"/>
      <c r="M68" s="6"/>
    </row>
    <row r="69" spans="1:13" s="8" customFormat="1" ht="45" customHeight="1" thickBot="1" x14ac:dyDescent="0.3">
      <c r="A69" s="3"/>
      <c r="B69" s="7"/>
      <c r="C69" s="4"/>
      <c r="D69" s="15"/>
      <c r="E69" s="7"/>
      <c r="F69" s="2"/>
      <c r="G69" s="2"/>
      <c r="H69" s="7"/>
      <c r="I69" s="4"/>
      <c r="J69" s="2"/>
      <c r="K69" s="2"/>
      <c r="L69" s="12"/>
      <c r="M69" s="6"/>
    </row>
    <row r="70" spans="1:13" s="8" customFormat="1" ht="45" customHeight="1" thickBot="1" x14ac:dyDescent="0.3">
      <c r="A70" s="3"/>
      <c r="B70" s="7"/>
      <c r="C70" s="4"/>
      <c r="D70" s="15"/>
      <c r="E70" s="7"/>
      <c r="F70" s="2"/>
      <c r="G70" s="2"/>
      <c r="H70" s="7"/>
      <c r="I70" s="4"/>
      <c r="J70" s="2"/>
      <c r="K70" s="2"/>
      <c r="L70" s="12"/>
      <c r="M70" s="6"/>
    </row>
    <row r="71" spans="1:13" s="8" customFormat="1" ht="45" customHeight="1" thickBot="1" x14ac:dyDescent="0.3">
      <c r="A71" s="3"/>
      <c r="B71" s="7"/>
      <c r="C71" s="4"/>
      <c r="D71" s="15"/>
      <c r="E71" s="7"/>
      <c r="F71" s="2"/>
      <c r="G71" s="2"/>
      <c r="H71" s="7"/>
      <c r="I71" s="4"/>
      <c r="J71" s="2"/>
      <c r="K71" s="2"/>
      <c r="L71" s="12"/>
      <c r="M71" s="6"/>
    </row>
    <row r="72" spans="1:13" s="8" customFormat="1" ht="45" customHeight="1" thickBot="1" x14ac:dyDescent="0.3">
      <c r="A72" s="3"/>
      <c r="B72" s="7"/>
      <c r="C72" s="4"/>
      <c r="D72" s="15"/>
      <c r="E72" s="7"/>
      <c r="F72" s="2"/>
      <c r="G72" s="2"/>
      <c r="H72" s="7"/>
      <c r="I72" s="4"/>
      <c r="J72" s="2"/>
      <c r="K72" s="2"/>
      <c r="L72" s="12"/>
      <c r="M72" s="6"/>
    </row>
    <row r="73" spans="1:13" s="8" customFormat="1" ht="45" customHeight="1" thickBot="1" x14ac:dyDescent="0.3">
      <c r="A73" s="3"/>
      <c r="B73" s="7"/>
      <c r="C73" s="2"/>
      <c r="D73" s="10"/>
      <c r="E73" s="7"/>
      <c r="F73" s="2"/>
      <c r="G73" s="2"/>
      <c r="H73" s="7"/>
      <c r="I73" s="4"/>
      <c r="J73" s="2"/>
      <c r="K73" s="2"/>
      <c r="L73" s="12"/>
      <c r="M73" s="6"/>
    </row>
    <row r="74" spans="1:13" s="8" customFormat="1" ht="45" customHeight="1" thickBot="1" x14ac:dyDescent="0.3">
      <c r="A74" s="3"/>
      <c r="B74" s="7"/>
      <c r="C74" s="2"/>
      <c r="D74" s="10"/>
      <c r="E74" s="7"/>
      <c r="F74" s="2"/>
      <c r="G74" s="2"/>
      <c r="H74" s="7"/>
      <c r="I74" s="4"/>
      <c r="J74" s="2"/>
      <c r="K74" s="2"/>
      <c r="L74" s="12"/>
      <c r="M74" s="6"/>
    </row>
    <row r="75" spans="1:13" s="8" customFormat="1" ht="15.75" thickBot="1" x14ac:dyDescent="0.3">
      <c r="A75" s="3"/>
      <c r="B75" s="7"/>
      <c r="C75" s="2"/>
      <c r="D75" s="14"/>
      <c r="E75" s="7"/>
      <c r="F75" s="2"/>
      <c r="G75" s="2"/>
      <c r="H75" s="7"/>
      <c r="I75" s="4"/>
      <c r="J75" s="2"/>
      <c r="K75" s="2"/>
      <c r="L75" s="12"/>
      <c r="M75" s="6"/>
    </row>
    <row r="76" spans="1:13" s="8" customFormat="1" ht="15.75" thickBot="1" x14ac:dyDescent="0.3">
      <c r="A76" s="3"/>
      <c r="B76" s="7"/>
      <c r="C76" s="2"/>
      <c r="D76" s="14"/>
      <c r="E76" s="7"/>
      <c r="F76" s="2"/>
      <c r="G76" s="2"/>
      <c r="H76" s="7"/>
      <c r="I76" s="4"/>
      <c r="J76" s="2"/>
      <c r="K76" s="2"/>
      <c r="L76" s="12"/>
      <c r="M76" s="6"/>
    </row>
    <row r="77" spans="1:13" s="8" customFormat="1" ht="45" customHeight="1" thickBot="1" x14ac:dyDescent="0.3">
      <c r="A77" s="3"/>
      <c r="B77" s="7"/>
      <c r="C77" s="4"/>
      <c r="D77" s="15"/>
      <c r="E77" s="7"/>
      <c r="F77" s="2"/>
      <c r="G77" s="2"/>
      <c r="H77" s="7"/>
      <c r="I77" s="4"/>
      <c r="J77" s="2"/>
      <c r="K77" s="2"/>
      <c r="L77" s="12"/>
      <c r="M77" s="6"/>
    </row>
    <row r="78" spans="1:13" s="8" customFormat="1" ht="45" customHeight="1" thickBot="1" x14ac:dyDescent="0.3">
      <c r="A78" s="3"/>
      <c r="B78" s="7"/>
      <c r="C78" s="4"/>
      <c r="D78" s="15"/>
      <c r="E78" s="7"/>
      <c r="F78" s="2"/>
      <c r="G78" s="2"/>
      <c r="H78" s="7"/>
      <c r="I78" s="4"/>
      <c r="J78" s="2"/>
      <c r="K78" s="2"/>
      <c r="L78" s="12"/>
      <c r="M78" s="6"/>
    </row>
    <row r="79" spans="1:13" s="8" customFormat="1" ht="45" customHeight="1" thickBot="1" x14ac:dyDescent="0.3">
      <c r="A79" s="3"/>
      <c r="B79" s="7"/>
      <c r="C79" s="4"/>
      <c r="D79" s="15"/>
      <c r="E79" s="7"/>
      <c r="F79" s="2"/>
      <c r="G79" s="2"/>
      <c r="H79" s="7"/>
      <c r="I79" s="4"/>
      <c r="J79" s="2"/>
      <c r="K79" s="2"/>
      <c r="L79" s="12"/>
      <c r="M79" s="6"/>
    </row>
    <row r="80" spans="1:13" s="8" customFormat="1" ht="45" customHeight="1" thickBot="1" x14ac:dyDescent="0.3">
      <c r="A80" s="3"/>
      <c r="B80" s="7"/>
      <c r="C80" s="4"/>
      <c r="D80" s="15"/>
      <c r="E80" s="7"/>
      <c r="F80" s="2"/>
      <c r="G80" s="2"/>
      <c r="H80" s="7"/>
      <c r="I80" s="4"/>
      <c r="J80" s="2"/>
      <c r="K80" s="2"/>
      <c r="L80" s="12"/>
      <c r="M80" s="6"/>
    </row>
    <row r="81" spans="1:13" s="8" customFormat="1" ht="45" customHeight="1" thickBot="1" x14ac:dyDescent="0.3">
      <c r="A81" s="3"/>
      <c r="B81" s="7"/>
      <c r="C81" s="4"/>
      <c r="D81" s="15"/>
      <c r="E81" s="7"/>
      <c r="F81" s="2"/>
      <c r="G81" s="2"/>
      <c r="H81" s="7"/>
      <c r="I81" s="4"/>
      <c r="J81" s="2"/>
      <c r="K81" s="2"/>
      <c r="L81" s="12"/>
      <c r="M81" s="6"/>
    </row>
    <row r="82" spans="1:13" s="8" customFormat="1" ht="45" customHeight="1" thickBot="1" x14ac:dyDescent="0.3">
      <c r="A82" s="3"/>
      <c r="B82" s="7"/>
      <c r="C82" s="4"/>
      <c r="D82" s="15"/>
      <c r="E82" s="7"/>
      <c r="F82" s="2"/>
      <c r="G82" s="2"/>
      <c r="H82" s="2"/>
      <c r="I82" s="4"/>
      <c r="J82" s="2"/>
      <c r="K82" s="2"/>
      <c r="L82" s="12"/>
      <c r="M82" s="6"/>
    </row>
    <row r="83" spans="1:13" s="8" customFormat="1" ht="45" customHeight="1" thickBot="1" x14ac:dyDescent="0.3">
      <c r="A83" s="3"/>
      <c r="B83" s="7"/>
      <c r="C83" s="4"/>
      <c r="D83" s="15"/>
      <c r="E83" s="7"/>
      <c r="F83" s="2"/>
      <c r="G83" s="2"/>
      <c r="H83" s="2"/>
      <c r="I83" s="4"/>
      <c r="J83" s="2"/>
      <c r="K83" s="2"/>
      <c r="L83" s="12"/>
      <c r="M83" s="6"/>
    </row>
    <row r="84" spans="1:13" s="8" customFormat="1" ht="45" customHeight="1" thickBot="1" x14ac:dyDescent="0.3">
      <c r="A84" s="3"/>
      <c r="B84" s="7"/>
      <c r="C84" s="4"/>
      <c r="D84" s="15"/>
      <c r="E84" s="7"/>
      <c r="F84" s="2"/>
      <c r="G84" s="2"/>
      <c r="H84" s="2"/>
      <c r="I84" s="4"/>
      <c r="J84" s="2"/>
      <c r="K84" s="2"/>
      <c r="L84" s="12"/>
      <c r="M84" s="6"/>
    </row>
    <row r="85" spans="1:13" s="8" customFormat="1" ht="45" customHeight="1" thickBot="1" x14ac:dyDescent="0.3">
      <c r="A85" s="3"/>
      <c r="B85" s="7"/>
      <c r="C85" s="4"/>
      <c r="D85" s="15"/>
      <c r="E85" s="7"/>
      <c r="F85" s="2"/>
      <c r="G85" s="2"/>
      <c r="H85" s="2"/>
      <c r="I85" s="4"/>
      <c r="J85" s="2"/>
      <c r="K85" s="2"/>
      <c r="L85" s="12"/>
      <c r="M85" s="6"/>
    </row>
    <row r="86" spans="1:13" s="8" customFormat="1" ht="45" customHeight="1" thickBot="1" x14ac:dyDescent="0.3">
      <c r="A86" s="3"/>
      <c r="B86" s="7"/>
      <c r="C86" s="4"/>
      <c r="D86" s="10"/>
      <c r="E86" s="7"/>
      <c r="F86" s="2"/>
      <c r="G86" s="2"/>
      <c r="H86" s="2"/>
      <c r="I86" s="4"/>
      <c r="J86" s="2"/>
      <c r="K86" s="2"/>
      <c r="L86" s="12"/>
      <c r="M86" s="6"/>
    </row>
    <row r="87" spans="1:13" s="8" customFormat="1" ht="45" customHeight="1" thickBot="1" x14ac:dyDescent="0.3">
      <c r="A87" s="3"/>
      <c r="B87" s="7"/>
      <c r="C87" s="4"/>
      <c r="D87" s="16"/>
      <c r="E87" s="7"/>
      <c r="F87" s="2"/>
      <c r="G87" s="2"/>
      <c r="H87" s="2"/>
      <c r="I87" s="4"/>
      <c r="J87" s="2"/>
      <c r="K87" s="2"/>
      <c r="L87" s="12"/>
      <c r="M87" s="6"/>
    </row>
    <row r="88" spans="1:13" s="8" customFormat="1" ht="45" customHeight="1" thickBot="1" x14ac:dyDescent="0.3">
      <c r="A88" s="3"/>
      <c r="B88" s="7"/>
      <c r="C88" s="4"/>
      <c r="D88" s="16"/>
      <c r="E88" s="7"/>
      <c r="F88" s="2"/>
      <c r="G88" s="2"/>
      <c r="H88" s="2"/>
      <c r="I88" s="4"/>
      <c r="J88" s="2"/>
      <c r="K88" s="2"/>
      <c r="L88" s="12"/>
      <c r="M88" s="6"/>
    </row>
    <row r="89" spans="1:13" s="8" customFormat="1" ht="45" customHeight="1" thickBot="1" x14ac:dyDescent="0.3">
      <c r="A89" s="3"/>
      <c r="B89" s="7"/>
      <c r="C89" s="4"/>
      <c r="D89" s="15"/>
      <c r="E89" s="7"/>
      <c r="F89" s="2"/>
      <c r="G89" s="2"/>
      <c r="H89" s="2"/>
      <c r="I89" s="4"/>
      <c r="J89" s="2"/>
      <c r="K89" s="2"/>
      <c r="L89" s="12"/>
      <c r="M89" s="6"/>
    </row>
    <row r="90" spans="1:13" s="8" customFormat="1" ht="45" customHeight="1" thickBot="1" x14ac:dyDescent="0.3">
      <c r="A90" s="3"/>
      <c r="B90" s="7"/>
      <c r="C90" s="4"/>
      <c r="D90" s="15"/>
      <c r="E90" s="7"/>
      <c r="F90" s="2"/>
      <c r="G90" s="2"/>
      <c r="H90" s="2"/>
      <c r="I90" s="4"/>
      <c r="J90" s="2"/>
      <c r="K90" s="2"/>
      <c r="L90" s="12"/>
      <c r="M90" s="6"/>
    </row>
    <row r="91" spans="1:13" s="8" customFormat="1" ht="45" customHeight="1" thickBot="1" x14ac:dyDescent="0.3">
      <c r="A91" s="3"/>
      <c r="B91" s="7"/>
      <c r="C91" s="4"/>
      <c r="D91" s="16"/>
      <c r="E91" s="7"/>
      <c r="F91" s="2"/>
      <c r="G91" s="2"/>
      <c r="H91" s="2"/>
      <c r="I91" s="4"/>
      <c r="J91" s="2"/>
      <c r="K91" s="2"/>
      <c r="L91" s="12"/>
      <c r="M91" s="6"/>
    </row>
    <row r="92" spans="1:13" s="8" customFormat="1" ht="45" customHeight="1" thickBot="1" x14ac:dyDescent="0.3">
      <c r="A92" s="3"/>
      <c r="B92" s="7"/>
      <c r="C92" s="4"/>
      <c r="D92" s="15"/>
      <c r="E92" s="7"/>
      <c r="F92" s="2"/>
      <c r="G92" s="2"/>
      <c r="H92" s="2"/>
      <c r="I92" s="4"/>
      <c r="J92" s="2"/>
      <c r="K92" s="2"/>
      <c r="L92" s="12"/>
      <c r="M92" s="6"/>
    </row>
    <row r="93" spans="1:13" s="8" customFormat="1" ht="45" customHeight="1" thickBot="1" x14ac:dyDescent="0.3">
      <c r="A93" s="3"/>
      <c r="B93" s="7"/>
      <c r="C93" s="4"/>
      <c r="D93" s="15"/>
      <c r="E93" s="7"/>
      <c r="F93" s="2"/>
      <c r="G93" s="2"/>
      <c r="H93" s="2"/>
      <c r="I93" s="4"/>
      <c r="J93" s="2"/>
      <c r="K93" s="2"/>
      <c r="L93" s="12"/>
      <c r="M93" s="6"/>
    </row>
    <row r="94" spans="1:13" s="8" customFormat="1" ht="45" customHeight="1" thickBot="1" x14ac:dyDescent="0.3">
      <c r="A94" s="3"/>
      <c r="B94" s="7"/>
      <c r="C94" s="4"/>
      <c r="D94" s="15"/>
      <c r="E94" s="7"/>
      <c r="F94" s="2"/>
      <c r="G94" s="2"/>
      <c r="H94" s="2"/>
      <c r="I94" s="4"/>
      <c r="J94" s="2"/>
      <c r="K94" s="2"/>
      <c r="L94" s="12"/>
      <c r="M94" s="6"/>
    </row>
    <row r="95" spans="1:13" s="8" customFormat="1" ht="45" customHeight="1" thickBot="1" x14ac:dyDescent="0.3">
      <c r="A95" s="3"/>
      <c r="B95" s="7"/>
      <c r="C95" s="4"/>
      <c r="D95" s="15"/>
      <c r="E95" s="7"/>
      <c r="F95" s="2"/>
      <c r="G95" s="2"/>
      <c r="H95" s="2"/>
      <c r="I95" s="4"/>
      <c r="J95" s="2"/>
      <c r="K95" s="2"/>
      <c r="L95" s="12"/>
      <c r="M95" s="6"/>
    </row>
    <row r="96" spans="1:13" s="8" customFormat="1" ht="45" customHeight="1" thickBot="1" x14ac:dyDescent="0.3">
      <c r="A96" s="3"/>
      <c r="B96" s="7"/>
      <c r="C96" s="4"/>
      <c r="D96" s="15"/>
      <c r="E96" s="7"/>
      <c r="F96" s="2"/>
      <c r="G96" s="2"/>
      <c r="H96" s="2"/>
      <c r="I96" s="4"/>
      <c r="J96" s="2"/>
      <c r="K96" s="2"/>
      <c r="L96" s="12"/>
      <c r="M96" s="6"/>
    </row>
    <row r="97" spans="1:13" s="8" customFormat="1" ht="45" customHeight="1" thickBot="1" x14ac:dyDescent="0.3">
      <c r="A97" s="3"/>
      <c r="B97" s="7"/>
      <c r="C97" s="4"/>
      <c r="D97" s="15"/>
      <c r="E97" s="7"/>
      <c r="F97" s="2"/>
      <c r="G97" s="2"/>
      <c r="H97" s="2"/>
      <c r="I97" s="4"/>
      <c r="J97" s="2"/>
      <c r="K97" s="2"/>
      <c r="L97" s="12"/>
      <c r="M97" s="6"/>
    </row>
    <row r="98" spans="1:13" s="8" customFormat="1" ht="45" customHeight="1" thickBot="1" x14ac:dyDescent="0.3">
      <c r="A98" s="3"/>
      <c r="B98" s="7"/>
      <c r="C98" s="4"/>
      <c r="D98" s="15"/>
      <c r="E98" s="7"/>
      <c r="F98" s="2"/>
      <c r="G98" s="2"/>
      <c r="H98" s="2"/>
      <c r="I98" s="4"/>
      <c r="J98" s="2"/>
      <c r="K98" s="2"/>
      <c r="L98" s="12"/>
      <c r="M98" s="6"/>
    </row>
    <row r="99" spans="1:13" s="8" customFormat="1" ht="45" customHeight="1" thickBot="1" x14ac:dyDescent="0.3">
      <c r="A99" s="3"/>
      <c r="B99" s="7"/>
      <c r="C99" s="4"/>
      <c r="D99" s="15"/>
      <c r="E99" s="7"/>
      <c r="F99" s="2"/>
      <c r="G99" s="2"/>
      <c r="H99" s="2"/>
      <c r="I99" s="4"/>
      <c r="J99" s="2"/>
      <c r="K99" s="2"/>
      <c r="L99" s="12"/>
      <c r="M99" s="6"/>
    </row>
    <row r="100" spans="1:13" s="8" customFormat="1" ht="45" customHeight="1" thickBot="1" x14ac:dyDescent="0.3">
      <c r="A100" s="3"/>
      <c r="B100" s="7"/>
      <c r="C100" s="4"/>
      <c r="D100" s="15"/>
      <c r="E100" s="7"/>
      <c r="F100" s="2"/>
      <c r="G100" s="2"/>
      <c r="H100" s="2"/>
      <c r="I100" s="4"/>
      <c r="J100" s="2"/>
      <c r="K100" s="2"/>
      <c r="L100" s="12"/>
      <c r="M100" s="6"/>
    </row>
    <row r="101" spans="1:13" s="8" customFormat="1" ht="45" customHeight="1" thickBot="1" x14ac:dyDescent="0.3">
      <c r="A101" s="3"/>
      <c r="B101" s="7"/>
      <c r="C101" s="4"/>
      <c r="D101" s="15"/>
      <c r="E101" s="7"/>
      <c r="F101" s="2"/>
      <c r="G101" s="2"/>
      <c r="H101" s="2"/>
      <c r="I101" s="4"/>
      <c r="J101" s="2"/>
      <c r="K101" s="2"/>
      <c r="L101" s="12"/>
      <c r="M101" s="6"/>
    </row>
    <row r="102" spans="1:13" s="8" customFormat="1" ht="45" customHeight="1" thickBot="1" x14ac:dyDescent="0.3">
      <c r="A102" s="3"/>
      <c r="B102" s="7"/>
      <c r="C102" s="4"/>
      <c r="D102" s="15"/>
      <c r="E102" s="7"/>
      <c r="F102" s="2"/>
      <c r="G102" s="2"/>
      <c r="H102" s="2"/>
      <c r="I102" s="4"/>
      <c r="J102" s="2"/>
      <c r="K102" s="2"/>
      <c r="L102" s="12"/>
      <c r="M102" s="6"/>
    </row>
    <row r="103" spans="1:13" s="8" customFormat="1" ht="45" customHeight="1" thickBot="1" x14ac:dyDescent="0.3">
      <c r="A103" s="3"/>
      <c r="B103" s="7"/>
      <c r="C103" s="4"/>
      <c r="D103" s="15"/>
      <c r="E103" s="7"/>
      <c r="F103" s="2"/>
      <c r="G103" s="2"/>
      <c r="H103" s="2"/>
      <c r="I103" s="4"/>
      <c r="J103" s="2"/>
      <c r="K103" s="2"/>
      <c r="L103" s="12"/>
      <c r="M103" s="6"/>
    </row>
    <row r="104" spans="1:13" s="8" customFormat="1" ht="45" customHeight="1" thickBot="1" x14ac:dyDescent="0.3">
      <c r="A104" s="3"/>
      <c r="B104" s="7"/>
      <c r="C104" s="4"/>
      <c r="D104" s="15"/>
      <c r="E104" s="7"/>
      <c r="F104" s="2"/>
      <c r="G104" s="2"/>
      <c r="H104" s="2"/>
      <c r="I104" s="4"/>
      <c r="J104" s="2"/>
      <c r="K104" s="2"/>
      <c r="L104" s="12"/>
      <c r="M104" s="6"/>
    </row>
    <row r="105" spans="1:13" s="8" customFormat="1" ht="45" customHeight="1" thickBot="1" x14ac:dyDescent="0.3">
      <c r="A105" s="3"/>
      <c r="B105" s="7"/>
      <c r="C105" s="4"/>
      <c r="D105" s="10"/>
      <c r="E105" s="7"/>
      <c r="F105" s="2"/>
      <c r="G105" s="2"/>
      <c r="H105" s="2"/>
      <c r="I105" s="4"/>
      <c r="J105" s="2"/>
      <c r="K105" s="2"/>
      <c r="L105" s="12"/>
      <c r="M105" s="6"/>
    </row>
    <row r="106" spans="1:13" s="8" customFormat="1" ht="45" customHeight="1" thickBot="1" x14ac:dyDescent="0.3">
      <c r="A106" s="3"/>
      <c r="B106" s="7"/>
      <c r="C106" s="4"/>
      <c r="D106" s="10"/>
      <c r="E106" s="7"/>
      <c r="F106" s="2"/>
      <c r="G106" s="2"/>
      <c r="H106" s="2"/>
      <c r="I106" s="4"/>
      <c r="J106" s="2"/>
      <c r="K106" s="2"/>
      <c r="L106" s="12"/>
      <c r="M106" s="6"/>
    </row>
    <row r="107" spans="1:13" s="8" customFormat="1" ht="45" customHeight="1" thickBot="1" x14ac:dyDescent="0.3">
      <c r="A107" s="3"/>
      <c r="B107" s="7"/>
      <c r="C107" s="4"/>
      <c r="D107" s="10"/>
      <c r="E107" s="7"/>
      <c r="F107" s="2"/>
      <c r="G107" s="2"/>
      <c r="H107" s="2"/>
      <c r="I107" s="4"/>
      <c r="J107" s="2"/>
      <c r="K107" s="2"/>
      <c r="L107" s="12"/>
      <c r="M107" s="6"/>
    </row>
    <row r="108" spans="1:13" s="8" customFormat="1" ht="45" customHeight="1" thickBot="1" x14ac:dyDescent="0.3">
      <c r="A108" s="3"/>
      <c r="B108" s="7"/>
      <c r="C108" s="2"/>
      <c r="D108" s="15"/>
      <c r="E108" s="2"/>
      <c r="F108" s="2"/>
      <c r="G108" s="2"/>
      <c r="H108" s="2"/>
      <c r="I108" s="4"/>
      <c r="J108" s="2"/>
      <c r="K108" s="2"/>
      <c r="L108" s="12"/>
      <c r="M108" s="6"/>
    </row>
    <row r="109" spans="1:13" s="8" customFormat="1" ht="45" customHeight="1" thickBot="1" x14ac:dyDescent="0.3">
      <c r="A109" s="3"/>
      <c r="B109" s="7"/>
      <c r="C109" s="2"/>
      <c r="D109" s="15"/>
      <c r="E109" s="2"/>
      <c r="F109" s="2"/>
      <c r="G109" s="2"/>
      <c r="H109" s="2"/>
      <c r="I109" s="4"/>
      <c r="J109" s="2"/>
      <c r="K109" s="2"/>
      <c r="L109" s="12"/>
      <c r="M109" s="6"/>
    </row>
    <row r="110" spans="1:13" s="8" customFormat="1" ht="45" customHeight="1" thickBot="1" x14ac:dyDescent="0.3">
      <c r="A110" s="3"/>
      <c r="B110" s="7"/>
      <c r="C110" s="2"/>
      <c r="D110" s="15"/>
      <c r="E110" s="2"/>
      <c r="F110" s="2"/>
      <c r="G110" s="2"/>
      <c r="H110" s="2"/>
      <c r="I110" s="4"/>
      <c r="J110" s="2"/>
      <c r="K110" s="2"/>
      <c r="L110" s="12"/>
      <c r="M110" s="6"/>
    </row>
    <row r="111" spans="1:13" s="8" customFormat="1" ht="45" customHeight="1" thickBot="1" x14ac:dyDescent="0.3">
      <c r="A111" s="3"/>
      <c r="B111" s="7"/>
      <c r="C111" s="4"/>
      <c r="D111" s="15"/>
      <c r="E111" s="2"/>
      <c r="F111" s="2"/>
      <c r="G111" s="2"/>
      <c r="H111" s="2"/>
      <c r="I111" s="4"/>
      <c r="J111" s="2"/>
      <c r="K111" s="2"/>
      <c r="L111" s="12"/>
      <c r="M111" s="6"/>
    </row>
    <row r="112" spans="1:13" s="8" customFormat="1" ht="45" customHeight="1" thickBot="1" x14ac:dyDescent="0.3">
      <c r="A112" s="3"/>
      <c r="B112" s="7"/>
      <c r="C112" s="2"/>
      <c r="D112" s="15"/>
      <c r="E112" s="7"/>
      <c r="F112" s="2"/>
      <c r="G112" s="2"/>
      <c r="H112" s="2"/>
      <c r="I112" s="4"/>
      <c r="J112" s="2"/>
      <c r="K112" s="2"/>
      <c r="L112" s="12"/>
      <c r="M112" s="6"/>
    </row>
    <row r="113" spans="1:13" s="8" customFormat="1" ht="45" customHeight="1" thickBot="1" x14ac:dyDescent="0.3">
      <c r="A113" s="3"/>
      <c r="B113" s="7"/>
      <c r="C113" s="2"/>
      <c r="D113" s="15"/>
      <c r="E113" s="7"/>
      <c r="F113" s="2"/>
      <c r="G113" s="2"/>
      <c r="H113" s="2"/>
      <c r="I113" s="4"/>
      <c r="J113" s="2"/>
      <c r="K113" s="2"/>
      <c r="L113" s="12"/>
      <c r="M113" s="6"/>
    </row>
    <row r="114" spans="1:13" s="8" customFormat="1" ht="45" customHeight="1" thickBot="1" x14ac:dyDescent="0.3">
      <c r="A114" s="3"/>
      <c r="B114" s="7"/>
      <c r="C114" s="2"/>
      <c r="D114" s="15"/>
      <c r="E114" s="7"/>
      <c r="F114" s="2"/>
      <c r="G114" s="2"/>
      <c r="H114" s="2"/>
      <c r="I114" s="4"/>
      <c r="J114" s="2"/>
      <c r="K114" s="2"/>
      <c r="L114" s="12"/>
      <c r="M114" s="6"/>
    </row>
    <row r="115" spans="1:13" s="8" customFormat="1" ht="45" customHeight="1" thickBot="1" x14ac:dyDescent="0.3">
      <c r="A115" s="3"/>
      <c r="B115" s="7"/>
      <c r="C115" s="2"/>
      <c r="D115" s="15"/>
      <c r="E115" s="7"/>
      <c r="F115" s="2"/>
      <c r="G115" s="2"/>
      <c r="H115" s="2"/>
      <c r="I115" s="4"/>
      <c r="J115" s="2"/>
      <c r="K115" s="2"/>
      <c r="L115" s="12"/>
      <c r="M115" s="6"/>
    </row>
    <row r="116" spans="1:13" s="8" customFormat="1" ht="45" customHeight="1" thickBot="1" x14ac:dyDescent="0.3">
      <c r="A116" s="3"/>
      <c r="B116" s="7"/>
      <c r="C116" s="2"/>
      <c r="D116" s="15"/>
      <c r="E116" s="7"/>
      <c r="F116" s="2"/>
      <c r="G116" s="2"/>
      <c r="H116" s="2"/>
      <c r="I116" s="4"/>
      <c r="J116" s="2"/>
      <c r="K116" s="2"/>
      <c r="L116" s="12"/>
      <c r="M116" s="6"/>
    </row>
    <row r="117" spans="1:13" s="8" customFormat="1" ht="45" customHeight="1" thickBot="1" x14ac:dyDescent="0.3">
      <c r="A117" s="3"/>
      <c r="B117" s="7"/>
      <c r="C117" s="2"/>
      <c r="D117" s="15"/>
      <c r="E117" s="2"/>
      <c r="F117" s="2"/>
      <c r="G117" s="2"/>
      <c r="H117" s="2"/>
      <c r="I117" s="4"/>
      <c r="J117" s="2"/>
      <c r="K117" s="2"/>
      <c r="L117" s="12"/>
      <c r="M117" s="6"/>
    </row>
    <row r="118" spans="1:13" s="8" customFormat="1" ht="45" customHeight="1" thickBot="1" x14ac:dyDescent="0.3">
      <c r="A118" s="3"/>
      <c r="B118" s="7"/>
      <c r="C118" s="2"/>
      <c r="D118" s="15"/>
      <c r="E118" s="2"/>
      <c r="F118" s="2"/>
      <c r="G118" s="2"/>
      <c r="H118" s="2"/>
      <c r="I118" s="4"/>
      <c r="J118" s="2"/>
      <c r="K118" s="2"/>
      <c r="L118" s="12"/>
      <c r="M118" s="6"/>
    </row>
    <row r="119" spans="1:13" s="8" customFormat="1" ht="45" customHeight="1" thickBot="1" x14ac:dyDescent="0.3">
      <c r="A119" s="3"/>
      <c r="B119" s="7"/>
      <c r="C119" s="2"/>
      <c r="D119" s="15"/>
      <c r="E119" s="2"/>
      <c r="F119" s="2"/>
      <c r="G119" s="2"/>
      <c r="H119" s="2"/>
      <c r="I119" s="4"/>
      <c r="J119" s="2"/>
      <c r="K119" s="2"/>
      <c r="L119" s="12"/>
      <c r="M119" s="6"/>
    </row>
    <row r="120" spans="1:13" s="8" customFormat="1" ht="45" customHeight="1" thickBot="1" x14ac:dyDescent="0.3">
      <c r="A120" s="3"/>
      <c r="B120" s="7"/>
      <c r="C120" s="2"/>
      <c r="D120" s="15"/>
      <c r="E120" s="2"/>
      <c r="F120" s="2"/>
      <c r="G120" s="2"/>
      <c r="H120" s="2"/>
      <c r="I120" s="4"/>
      <c r="J120" s="2"/>
      <c r="K120" s="2"/>
      <c r="L120" s="12"/>
      <c r="M120" s="6"/>
    </row>
    <row r="121" spans="1:13" s="8" customFormat="1" ht="45" customHeight="1" thickBot="1" x14ac:dyDescent="0.3">
      <c r="A121" s="3"/>
      <c r="B121" s="7"/>
      <c r="C121" s="2"/>
      <c r="D121" s="15"/>
      <c r="E121" s="2"/>
      <c r="F121" s="2"/>
      <c r="G121" s="2"/>
      <c r="H121" s="2"/>
      <c r="I121" s="4"/>
      <c r="J121" s="2"/>
      <c r="K121" s="2"/>
      <c r="L121" s="12"/>
      <c r="M121" s="6"/>
    </row>
    <row r="122" spans="1:13" s="8" customFormat="1" ht="45" customHeight="1" thickBot="1" x14ac:dyDescent="0.3">
      <c r="A122" s="3"/>
      <c r="B122" s="7"/>
      <c r="C122" s="2"/>
      <c r="D122" s="15"/>
      <c r="E122" s="2"/>
      <c r="F122" s="2"/>
      <c r="G122" s="2"/>
      <c r="H122" s="2"/>
      <c r="I122" s="4"/>
      <c r="J122" s="2"/>
      <c r="K122" s="2"/>
      <c r="L122" s="12"/>
      <c r="M122" s="6"/>
    </row>
    <row r="123" spans="1:13" s="8" customFormat="1" ht="45" customHeight="1" thickBot="1" x14ac:dyDescent="0.3">
      <c r="A123" s="3"/>
      <c r="B123" s="7"/>
      <c r="C123" s="2"/>
      <c r="D123" s="15"/>
      <c r="E123" s="2"/>
      <c r="F123" s="2"/>
      <c r="G123" s="2"/>
      <c r="H123" s="2"/>
      <c r="I123" s="4"/>
      <c r="J123" s="2"/>
      <c r="K123" s="2"/>
      <c r="L123" s="12"/>
      <c r="M123" s="6"/>
    </row>
    <row r="124" spans="1:13" s="8" customFormat="1" ht="45" customHeight="1" thickBot="1" x14ac:dyDescent="0.3">
      <c r="A124" s="3"/>
      <c r="B124" s="7"/>
      <c r="C124" s="2"/>
      <c r="D124" s="15"/>
      <c r="E124" s="2"/>
      <c r="F124" s="2"/>
      <c r="G124" s="2"/>
      <c r="H124" s="2"/>
      <c r="I124" s="4"/>
      <c r="J124" s="2"/>
      <c r="K124" s="2"/>
      <c r="L124" s="12"/>
      <c r="M124" s="6"/>
    </row>
    <row r="125" spans="1:13" s="8" customFormat="1" ht="45" customHeight="1" thickBot="1" x14ac:dyDescent="0.3">
      <c r="A125" s="3"/>
      <c r="B125" s="7"/>
      <c r="C125" s="2"/>
      <c r="D125" s="15"/>
      <c r="E125" s="2"/>
      <c r="F125" s="2"/>
      <c r="G125" s="2"/>
      <c r="H125" s="2"/>
      <c r="I125" s="4"/>
      <c r="J125" s="2"/>
      <c r="K125" s="2"/>
      <c r="L125" s="12"/>
      <c r="M125" s="6"/>
    </row>
    <row r="126" spans="1:13" s="8" customFormat="1" ht="45" customHeight="1" thickBot="1" x14ac:dyDescent="0.3">
      <c r="A126" s="3"/>
      <c r="B126" s="7"/>
      <c r="C126" s="2"/>
      <c r="D126" s="10"/>
      <c r="E126" s="2"/>
      <c r="F126" s="2"/>
      <c r="G126" s="2"/>
      <c r="H126" s="2"/>
      <c r="I126" s="4"/>
      <c r="J126" s="2"/>
      <c r="K126" s="2"/>
      <c r="L126" s="12"/>
      <c r="M126" s="6"/>
    </row>
    <row r="127" spans="1:13" s="8" customFormat="1" ht="45" customHeight="1" thickBot="1" x14ac:dyDescent="0.3">
      <c r="A127" s="3"/>
      <c r="B127" s="7"/>
      <c r="C127" s="2"/>
      <c r="D127" s="10"/>
      <c r="E127" s="2"/>
      <c r="F127" s="2"/>
      <c r="G127" s="2"/>
      <c r="H127" s="2"/>
      <c r="I127" s="4"/>
      <c r="J127" s="2"/>
      <c r="K127" s="2"/>
      <c r="L127" s="12"/>
      <c r="M127" s="6"/>
    </row>
    <row r="128" spans="1:13" s="8" customFormat="1" ht="45" customHeight="1" thickBot="1" x14ac:dyDescent="0.3">
      <c r="A128" s="3"/>
      <c r="B128" s="7"/>
      <c r="C128" s="2"/>
      <c r="D128" s="10"/>
      <c r="E128" s="2"/>
      <c r="F128" s="2"/>
      <c r="G128" s="2"/>
      <c r="H128" s="2"/>
      <c r="I128" s="4"/>
      <c r="J128" s="2"/>
      <c r="K128" s="2"/>
      <c r="L128" s="12"/>
      <c r="M128" s="6"/>
    </row>
    <row r="129" spans="1:13" s="8" customFormat="1" ht="45" customHeight="1" thickBot="1" x14ac:dyDescent="0.3">
      <c r="A129" s="3"/>
      <c r="B129" s="7"/>
      <c r="C129" s="2"/>
      <c r="D129" s="15"/>
      <c r="E129" s="2"/>
      <c r="F129" s="2"/>
      <c r="G129" s="2"/>
      <c r="H129" s="2"/>
      <c r="I129" s="4"/>
      <c r="J129" s="2"/>
      <c r="K129" s="2"/>
      <c r="L129" s="12"/>
      <c r="M129" s="6"/>
    </row>
    <row r="130" spans="1:13" s="8" customFormat="1" ht="45" customHeight="1" thickBot="1" x14ac:dyDescent="0.3">
      <c r="A130" s="3"/>
      <c r="B130" s="7"/>
      <c r="C130" s="2"/>
      <c r="D130" s="10"/>
      <c r="E130" s="2"/>
      <c r="F130" s="2"/>
      <c r="G130" s="2"/>
      <c r="H130" s="2"/>
      <c r="I130" s="4"/>
      <c r="J130" s="2"/>
      <c r="K130" s="2"/>
      <c r="L130" s="12"/>
      <c r="M130" s="6"/>
    </row>
    <row r="131" spans="1:13" s="8" customFormat="1" ht="45" customHeight="1" thickBot="1" x14ac:dyDescent="0.3">
      <c r="A131" s="3"/>
      <c r="B131" s="7"/>
      <c r="C131" s="2"/>
      <c r="D131" s="15"/>
      <c r="E131" s="2"/>
      <c r="F131" s="2"/>
      <c r="G131" s="2"/>
      <c r="H131" s="2"/>
      <c r="I131" s="4"/>
      <c r="J131" s="2"/>
      <c r="K131" s="2"/>
      <c r="L131" s="12"/>
      <c r="M131" s="6"/>
    </row>
    <row r="132" spans="1:13" s="8" customFormat="1" ht="45" customHeight="1" thickBot="1" x14ac:dyDescent="0.3">
      <c r="A132" s="3"/>
      <c r="B132" s="7"/>
      <c r="C132" s="2"/>
      <c r="D132" s="10"/>
      <c r="E132" s="2"/>
      <c r="F132" s="2"/>
      <c r="G132" s="2"/>
      <c r="H132" s="2"/>
      <c r="I132" s="4"/>
      <c r="J132" s="2"/>
      <c r="K132" s="2"/>
      <c r="L132" s="12"/>
      <c r="M132" s="6"/>
    </row>
    <row r="133" spans="1:13" s="8" customFormat="1" ht="45" customHeight="1" thickBot="1" x14ac:dyDescent="0.3">
      <c r="A133" s="3"/>
      <c r="B133" s="7"/>
      <c r="C133" s="2"/>
      <c r="D133" s="15"/>
      <c r="E133" s="2"/>
      <c r="F133" s="2"/>
      <c r="G133" s="2"/>
      <c r="H133" s="2"/>
      <c r="I133" s="4"/>
      <c r="J133" s="2"/>
      <c r="K133" s="2"/>
      <c r="L133" s="12"/>
      <c r="M133" s="6"/>
    </row>
    <row r="134" spans="1:13" s="8" customFormat="1" ht="45" customHeight="1" thickBot="1" x14ac:dyDescent="0.3">
      <c r="A134" s="3"/>
      <c r="B134" s="7"/>
      <c r="C134" s="2"/>
      <c r="D134" s="15"/>
      <c r="E134" s="2"/>
      <c r="F134" s="2"/>
      <c r="G134" s="2"/>
      <c r="H134" s="2"/>
      <c r="I134" s="4"/>
      <c r="J134" s="2"/>
      <c r="K134" s="2"/>
      <c r="L134" s="12"/>
      <c r="M134" s="6"/>
    </row>
    <row r="135" spans="1:13" s="8" customFormat="1" ht="45" customHeight="1" thickBot="1" x14ac:dyDescent="0.3">
      <c r="A135" s="3"/>
      <c r="B135" s="7"/>
      <c r="C135" s="2"/>
      <c r="D135" s="15"/>
      <c r="E135" s="2"/>
      <c r="F135" s="2"/>
      <c r="G135" s="2"/>
      <c r="H135" s="2"/>
      <c r="I135" s="4"/>
      <c r="J135" s="2"/>
      <c r="K135" s="2"/>
      <c r="L135" s="12"/>
      <c r="M135" s="6"/>
    </row>
    <row r="136" spans="1:13" s="8" customFormat="1" ht="45" customHeight="1" thickBot="1" x14ac:dyDescent="0.3">
      <c r="A136" s="3"/>
      <c r="B136" s="7"/>
      <c r="C136" s="2"/>
      <c r="D136" s="15"/>
      <c r="E136" s="2"/>
      <c r="F136" s="2"/>
      <c r="G136" s="2"/>
      <c r="H136" s="2"/>
      <c r="I136" s="4"/>
      <c r="J136" s="2"/>
      <c r="K136" s="2"/>
      <c r="L136" s="12"/>
      <c r="M136" s="6"/>
    </row>
    <row r="137" spans="1:13" s="8" customFormat="1" ht="45" customHeight="1" thickBot="1" x14ac:dyDescent="0.3">
      <c r="A137" s="3"/>
      <c r="B137" s="7"/>
      <c r="C137" s="2"/>
      <c r="D137" s="15"/>
      <c r="E137" s="2"/>
      <c r="F137" s="2"/>
      <c r="G137" s="2"/>
      <c r="H137" s="2"/>
      <c r="I137" s="4"/>
      <c r="J137" s="2"/>
      <c r="K137" s="2"/>
      <c r="L137" s="12"/>
      <c r="M137" s="6"/>
    </row>
    <row r="138" spans="1:13" s="8" customFormat="1" ht="45" customHeight="1" thickBot="1" x14ac:dyDescent="0.3">
      <c r="A138" s="3"/>
      <c r="B138" s="7"/>
      <c r="C138" s="2"/>
      <c r="D138" s="15"/>
      <c r="E138" s="2"/>
      <c r="F138" s="2"/>
      <c r="G138" s="2"/>
      <c r="H138" s="2"/>
      <c r="I138" s="4"/>
      <c r="J138" s="2"/>
      <c r="K138" s="2"/>
      <c r="L138" s="12"/>
      <c r="M138" s="6"/>
    </row>
    <row r="139" spans="1:13" s="8" customFormat="1" ht="45" customHeight="1" thickBot="1" x14ac:dyDescent="0.3">
      <c r="A139" s="3"/>
      <c r="B139" s="7"/>
      <c r="C139" s="2"/>
      <c r="D139" s="15"/>
      <c r="E139" s="2"/>
      <c r="F139" s="2"/>
      <c r="G139" s="2"/>
      <c r="H139" s="2"/>
      <c r="I139" s="4"/>
      <c r="J139" s="2"/>
      <c r="K139" s="2"/>
      <c r="L139" s="12"/>
      <c r="M139" s="6"/>
    </row>
    <row r="140" spans="1:13" s="8" customFormat="1" ht="45" customHeight="1" thickBot="1" x14ac:dyDescent="0.3">
      <c r="A140" s="3"/>
      <c r="B140" s="7"/>
      <c r="C140" s="2"/>
      <c r="D140" s="15"/>
      <c r="E140" s="2"/>
      <c r="F140" s="2"/>
      <c r="G140" s="2"/>
      <c r="H140" s="2"/>
      <c r="I140" s="4"/>
      <c r="J140" s="2"/>
      <c r="K140" s="2"/>
      <c r="L140" s="12"/>
      <c r="M140" s="6"/>
    </row>
    <row r="141" spans="1:13" s="8" customFormat="1" ht="45" customHeight="1" thickBot="1" x14ac:dyDescent="0.3">
      <c r="A141" s="3"/>
      <c r="B141" s="7"/>
      <c r="C141" s="2"/>
      <c r="D141" s="10"/>
      <c r="E141" s="2"/>
      <c r="F141" s="2"/>
      <c r="G141" s="2"/>
      <c r="H141" s="2"/>
      <c r="I141" s="4"/>
      <c r="J141" s="2"/>
      <c r="K141" s="2"/>
      <c r="L141" s="12"/>
      <c r="M141" s="6"/>
    </row>
    <row r="142" spans="1:13" s="8" customFormat="1" ht="45" customHeight="1" thickBot="1" x14ac:dyDescent="0.3">
      <c r="A142" s="3"/>
      <c r="B142" s="7"/>
      <c r="C142" s="2"/>
      <c r="D142" s="15"/>
      <c r="E142" s="2"/>
      <c r="F142" s="2"/>
      <c r="G142" s="2"/>
      <c r="H142" s="2"/>
      <c r="I142" s="4"/>
      <c r="J142" s="2"/>
      <c r="K142" s="2"/>
      <c r="L142" s="12"/>
      <c r="M142" s="6"/>
    </row>
    <row r="143" spans="1:13" s="8" customFormat="1" ht="45" customHeight="1" thickBot="1" x14ac:dyDescent="0.3">
      <c r="A143" s="3"/>
      <c r="B143" s="7"/>
      <c r="C143" s="2"/>
      <c r="D143" s="15"/>
      <c r="E143" s="2"/>
      <c r="F143" s="2"/>
      <c r="G143" s="2"/>
      <c r="H143" s="2"/>
      <c r="I143" s="4"/>
      <c r="J143" s="2"/>
      <c r="K143" s="2"/>
      <c r="L143" s="12"/>
      <c r="M143" s="6"/>
    </row>
    <row r="144" spans="1:13" s="8" customFormat="1" ht="45" customHeight="1" thickBot="1" x14ac:dyDescent="0.3">
      <c r="A144" s="3"/>
      <c r="B144" s="7"/>
      <c r="C144" s="2"/>
      <c r="D144" s="15"/>
      <c r="E144" s="2"/>
      <c r="F144" s="2"/>
      <c r="G144" s="2"/>
      <c r="H144" s="2"/>
      <c r="I144" s="4"/>
      <c r="J144" s="2"/>
      <c r="K144" s="2"/>
      <c r="L144" s="12"/>
      <c r="M144" s="6"/>
    </row>
    <row r="145" spans="1:13" s="8" customFormat="1" ht="45" customHeight="1" thickBot="1" x14ac:dyDescent="0.3">
      <c r="A145" s="3"/>
      <c r="B145" s="7"/>
      <c r="C145" s="2"/>
      <c r="D145" s="15"/>
      <c r="E145" s="2"/>
      <c r="F145" s="2"/>
      <c r="G145" s="2"/>
      <c r="H145" s="2"/>
      <c r="I145" s="4"/>
      <c r="J145" s="2"/>
      <c r="K145" s="2"/>
      <c r="L145" s="12"/>
      <c r="M145" s="6"/>
    </row>
    <row r="146" spans="1:13" s="8" customFormat="1" ht="45" customHeight="1" thickBot="1" x14ac:dyDescent="0.3">
      <c r="A146" s="3"/>
      <c r="B146" s="7"/>
      <c r="C146" s="2"/>
      <c r="D146" s="15"/>
      <c r="E146" s="2"/>
      <c r="F146" s="2"/>
      <c r="G146" s="2"/>
      <c r="H146" s="2"/>
      <c r="I146" s="4"/>
      <c r="J146" s="2"/>
      <c r="K146" s="2"/>
      <c r="L146" s="12"/>
      <c r="M146" s="6"/>
    </row>
    <row r="147" spans="1:13" s="8" customFormat="1" ht="45" customHeight="1" thickBot="1" x14ac:dyDescent="0.3">
      <c r="A147" s="3"/>
      <c r="B147" s="7"/>
      <c r="C147" s="2"/>
      <c r="D147" s="15"/>
      <c r="E147" s="2"/>
      <c r="F147" s="2"/>
      <c r="G147" s="2"/>
      <c r="H147" s="2"/>
      <c r="I147" s="4"/>
      <c r="J147" s="2"/>
      <c r="K147" s="2"/>
      <c r="L147" s="12"/>
      <c r="M147" s="6"/>
    </row>
    <row r="148" spans="1:13" s="8" customFormat="1" ht="45" customHeight="1" thickBot="1" x14ac:dyDescent="0.3">
      <c r="A148" s="3"/>
      <c r="B148" s="7"/>
      <c r="C148" s="2"/>
      <c r="D148" s="15"/>
      <c r="E148" s="2"/>
      <c r="F148" s="2"/>
      <c r="G148" s="2"/>
      <c r="H148" s="2"/>
      <c r="I148" s="4"/>
      <c r="J148" s="2"/>
      <c r="K148" s="2"/>
      <c r="L148" s="12"/>
      <c r="M148" s="6"/>
    </row>
    <row r="149" spans="1:13" s="8" customFormat="1" ht="45" customHeight="1" thickBot="1" x14ac:dyDescent="0.3">
      <c r="A149" s="3"/>
      <c r="B149" s="7"/>
      <c r="C149" s="2"/>
      <c r="D149" s="15"/>
      <c r="E149" s="2"/>
      <c r="F149" s="2"/>
      <c r="G149" s="2"/>
      <c r="H149" s="2"/>
      <c r="I149" s="4"/>
      <c r="J149" s="2"/>
      <c r="K149" s="2"/>
      <c r="L149" s="12"/>
      <c r="M149" s="6"/>
    </row>
    <row r="150" spans="1:13" s="8" customFormat="1" ht="45" customHeight="1" thickBot="1" x14ac:dyDescent="0.3">
      <c r="A150" s="3"/>
      <c r="B150" s="7"/>
      <c r="C150" s="2"/>
      <c r="D150" s="15"/>
      <c r="E150" s="2"/>
      <c r="F150" s="2"/>
      <c r="G150" s="2"/>
      <c r="H150" s="2"/>
      <c r="I150" s="4"/>
      <c r="J150" s="2"/>
      <c r="K150" s="2"/>
      <c r="L150" s="12"/>
      <c r="M150" s="6"/>
    </row>
    <row r="151" spans="1:13" s="8" customFormat="1" ht="45" customHeight="1" thickBot="1" x14ac:dyDescent="0.3">
      <c r="A151" s="3"/>
      <c r="B151" s="7"/>
      <c r="C151" s="10"/>
      <c r="D151" s="15"/>
      <c r="E151" s="2"/>
      <c r="F151" s="2"/>
      <c r="G151" s="2"/>
      <c r="H151" s="2"/>
      <c r="I151" s="4"/>
      <c r="J151" s="2"/>
      <c r="K151" s="2"/>
      <c r="L151" s="12"/>
      <c r="M151" s="6"/>
    </row>
    <row r="152" spans="1:13" s="8" customFormat="1" ht="45" customHeight="1" thickBot="1" x14ac:dyDescent="0.3">
      <c r="A152" s="3"/>
      <c r="B152" s="7"/>
      <c r="C152" s="10"/>
      <c r="D152" s="15"/>
      <c r="E152" s="2"/>
      <c r="F152" s="2"/>
      <c r="G152" s="2"/>
      <c r="H152" s="2"/>
      <c r="I152" s="4"/>
      <c r="J152" s="2"/>
      <c r="K152" s="2"/>
      <c r="L152" s="12"/>
      <c r="M152" s="6"/>
    </row>
    <row r="153" spans="1:13" s="8" customFormat="1" ht="45" customHeight="1" thickBot="1" x14ac:dyDescent="0.3">
      <c r="A153" s="3"/>
      <c r="B153" s="7"/>
      <c r="C153" s="2"/>
      <c r="D153" s="15"/>
      <c r="E153" s="2"/>
      <c r="F153" s="2"/>
      <c r="G153" s="2"/>
      <c r="H153" s="2"/>
      <c r="I153" s="4"/>
      <c r="J153" s="2"/>
      <c r="K153" s="2"/>
      <c r="L153" s="12"/>
      <c r="M153" s="6"/>
    </row>
    <row r="154" spans="1:13" s="8" customFormat="1" ht="45" customHeight="1" thickBot="1" x14ac:dyDescent="0.3">
      <c r="A154" s="3"/>
      <c r="B154" s="7"/>
      <c r="C154" s="2"/>
      <c r="D154" s="15"/>
      <c r="E154" s="2"/>
      <c r="F154" s="2"/>
      <c r="G154" s="2"/>
      <c r="H154" s="2"/>
      <c r="I154" s="4"/>
      <c r="J154" s="2"/>
      <c r="K154" s="2"/>
      <c r="L154" s="12"/>
      <c r="M154" s="6"/>
    </row>
    <row r="155" spans="1:13" s="8" customFormat="1" ht="45" customHeight="1" thickBot="1" x14ac:dyDescent="0.3">
      <c r="A155" s="3"/>
      <c r="B155" s="7"/>
      <c r="C155" s="2"/>
      <c r="D155" s="15"/>
      <c r="E155" s="2"/>
      <c r="F155" s="2"/>
      <c r="G155" s="2"/>
      <c r="H155" s="2"/>
      <c r="I155" s="4"/>
      <c r="J155" s="2"/>
      <c r="K155" s="2"/>
      <c r="L155" s="12"/>
      <c r="M155" s="6"/>
    </row>
    <row r="156" spans="1:13" s="8" customFormat="1" ht="45" customHeight="1" thickBot="1" x14ac:dyDescent="0.3">
      <c r="A156" s="3"/>
      <c r="B156" s="7"/>
      <c r="C156" s="2"/>
      <c r="D156" s="16"/>
      <c r="E156" s="2"/>
      <c r="F156" s="2"/>
      <c r="G156" s="2"/>
      <c r="H156" s="2"/>
      <c r="I156" s="4"/>
      <c r="J156" s="2"/>
      <c r="K156" s="2"/>
      <c r="L156" s="12"/>
      <c r="M156" s="6"/>
    </row>
    <row r="157" spans="1:13" s="8" customFormat="1" ht="45" customHeight="1" thickBot="1" x14ac:dyDescent="0.3">
      <c r="A157" s="3"/>
      <c r="B157" s="7"/>
      <c r="C157" s="2"/>
      <c r="D157" s="16"/>
      <c r="E157" s="2"/>
      <c r="F157" s="2"/>
      <c r="G157" s="2"/>
      <c r="H157" s="2"/>
      <c r="I157" s="4"/>
      <c r="J157" s="2"/>
      <c r="K157" s="2"/>
      <c r="L157" s="12"/>
      <c r="M157" s="6"/>
    </row>
    <row r="158" spans="1:13" s="8" customFormat="1" ht="45" customHeight="1" thickBot="1" x14ac:dyDescent="0.3">
      <c r="A158" s="3"/>
      <c r="B158" s="7"/>
      <c r="C158" s="2"/>
      <c r="D158" s="15"/>
      <c r="E158" s="2"/>
      <c r="F158" s="2"/>
      <c r="G158" s="2"/>
      <c r="H158" s="2"/>
      <c r="I158" s="4"/>
      <c r="J158" s="2"/>
      <c r="K158" s="2"/>
      <c r="L158" s="12"/>
      <c r="M158" s="6"/>
    </row>
    <row r="159" spans="1:13" s="8" customFormat="1" ht="45" customHeight="1" thickBot="1" x14ac:dyDescent="0.3">
      <c r="A159" s="3"/>
      <c r="B159" s="7"/>
      <c r="C159" s="2"/>
      <c r="D159" s="15"/>
      <c r="E159" s="2"/>
      <c r="F159" s="2"/>
      <c r="G159" s="2"/>
      <c r="H159" s="2"/>
      <c r="I159" s="4"/>
      <c r="J159" s="2"/>
      <c r="K159" s="2"/>
      <c r="L159" s="12"/>
      <c r="M159" s="6"/>
    </row>
    <row r="160" spans="1:13" s="8" customFormat="1" ht="45" customHeight="1" thickBot="1" x14ac:dyDescent="0.3">
      <c r="A160" s="3"/>
      <c r="B160" s="7"/>
      <c r="C160" s="2"/>
      <c r="D160" s="15"/>
      <c r="E160" s="2"/>
      <c r="F160" s="2"/>
      <c r="G160" s="2"/>
      <c r="H160" s="2"/>
      <c r="I160" s="4"/>
      <c r="J160" s="2"/>
      <c r="K160" s="2"/>
      <c r="L160" s="12"/>
      <c r="M160" s="6"/>
    </row>
    <row r="161" spans="1:13" s="8" customFormat="1" ht="45" customHeight="1" thickBot="1" x14ac:dyDescent="0.3">
      <c r="A161" s="3"/>
      <c r="B161" s="7"/>
      <c r="C161" s="2"/>
      <c r="D161" s="15"/>
      <c r="E161" s="2"/>
      <c r="F161" s="2"/>
      <c r="G161" s="2"/>
      <c r="H161" s="2"/>
      <c r="I161" s="4"/>
      <c r="J161" s="2"/>
      <c r="K161" s="2"/>
      <c r="L161" s="12"/>
      <c r="M161" s="6"/>
    </row>
    <row r="162" spans="1:13" s="8" customFormat="1" ht="45" customHeight="1" thickBot="1" x14ac:dyDescent="0.3">
      <c r="A162" s="3"/>
      <c r="B162" s="7"/>
      <c r="C162" s="2"/>
      <c r="D162" s="15"/>
      <c r="E162" s="2"/>
      <c r="F162" s="2"/>
      <c r="G162" s="2"/>
      <c r="H162" s="2"/>
      <c r="I162" s="4"/>
      <c r="J162" s="2"/>
      <c r="K162" s="2"/>
      <c r="L162" s="12"/>
      <c r="M162" s="6"/>
    </row>
    <row r="163" spans="1:13" s="8" customFormat="1" ht="45" customHeight="1" thickBot="1" x14ac:dyDescent="0.3">
      <c r="A163" s="3"/>
      <c r="B163" s="7"/>
      <c r="C163" s="2"/>
      <c r="D163" s="15"/>
      <c r="E163" s="2"/>
      <c r="F163" s="2"/>
      <c r="G163" s="2"/>
      <c r="H163" s="2"/>
      <c r="I163" s="4"/>
      <c r="J163" s="2"/>
      <c r="K163" s="2"/>
      <c r="L163" s="12"/>
      <c r="M163" s="6"/>
    </row>
    <row r="164" spans="1:13" s="8" customFormat="1" ht="45" customHeight="1" thickBot="1" x14ac:dyDescent="0.3">
      <c r="A164" s="3"/>
      <c r="B164" s="7"/>
      <c r="C164" s="2"/>
      <c r="D164" s="10"/>
      <c r="E164" s="2"/>
      <c r="F164" s="2"/>
      <c r="G164" s="2"/>
      <c r="H164" s="2"/>
      <c r="I164" s="4"/>
      <c r="J164" s="2"/>
      <c r="K164" s="2"/>
      <c r="L164" s="12"/>
      <c r="M164" s="6"/>
    </row>
    <row r="165" spans="1:13" s="8" customFormat="1" ht="45" customHeight="1" thickBot="1" x14ac:dyDescent="0.3">
      <c r="A165" s="3"/>
      <c r="B165" s="7"/>
      <c r="C165" s="2"/>
      <c r="D165" s="15"/>
      <c r="E165" s="2"/>
      <c r="F165" s="2"/>
      <c r="G165" s="2"/>
      <c r="H165" s="2"/>
      <c r="I165" s="4"/>
      <c r="J165" s="2"/>
      <c r="K165" s="2"/>
      <c r="L165" s="12"/>
      <c r="M165" s="6"/>
    </row>
    <row r="166" spans="1:13" s="8" customFormat="1" ht="45" customHeight="1" thickBot="1" x14ac:dyDescent="0.3">
      <c r="A166" s="3"/>
      <c r="B166" s="7"/>
      <c r="C166" s="2"/>
      <c r="D166" s="15"/>
      <c r="E166" s="2"/>
      <c r="F166" s="2"/>
      <c r="G166" s="2"/>
      <c r="H166" s="2"/>
      <c r="I166" s="4"/>
      <c r="J166" s="2"/>
      <c r="K166" s="2"/>
      <c r="L166" s="12"/>
      <c r="M166" s="6"/>
    </row>
    <row r="167" spans="1:13" s="8" customFormat="1" ht="45" customHeight="1" thickBot="1" x14ac:dyDescent="0.3">
      <c r="A167" s="3"/>
      <c r="B167" s="7"/>
      <c r="C167" s="2"/>
      <c r="D167" s="15"/>
      <c r="E167" s="2"/>
      <c r="F167" s="2"/>
      <c r="G167" s="2"/>
      <c r="H167" s="2"/>
      <c r="I167" s="4"/>
      <c r="J167" s="2"/>
      <c r="K167" s="2"/>
      <c r="L167" s="12"/>
      <c r="M167" s="6"/>
    </row>
    <row r="168" spans="1:13" s="8" customFormat="1" ht="45" customHeight="1" thickBot="1" x14ac:dyDescent="0.3">
      <c r="A168" s="3"/>
      <c r="B168" s="7"/>
      <c r="C168" s="2"/>
      <c r="D168" s="15"/>
      <c r="E168" s="2"/>
      <c r="F168" s="2"/>
      <c r="G168" s="2"/>
      <c r="H168" s="2"/>
      <c r="I168" s="4"/>
      <c r="J168" s="2"/>
      <c r="K168" s="2"/>
      <c r="L168" s="12"/>
      <c r="M168" s="6"/>
    </row>
    <row r="169" spans="1:13" s="8" customFormat="1" ht="45" customHeight="1" thickBot="1" x14ac:dyDescent="0.3">
      <c r="A169" s="3"/>
      <c r="B169" s="7"/>
      <c r="C169" s="2"/>
      <c r="D169" s="15"/>
      <c r="E169" s="2"/>
      <c r="F169" s="2"/>
      <c r="G169" s="2"/>
      <c r="H169" s="2"/>
      <c r="I169" s="4"/>
      <c r="J169" s="2"/>
      <c r="K169" s="2"/>
      <c r="L169" s="12"/>
      <c r="M169" s="6"/>
    </row>
    <row r="170" spans="1:13" s="8" customFormat="1" ht="45" customHeight="1" thickBot="1" x14ac:dyDescent="0.3">
      <c r="A170" s="3"/>
      <c r="B170" s="7"/>
      <c r="C170" s="2"/>
      <c r="D170" s="15"/>
      <c r="E170" s="2"/>
      <c r="F170" s="2"/>
      <c r="G170" s="2"/>
      <c r="H170" s="2"/>
      <c r="I170" s="4"/>
      <c r="J170" s="2"/>
      <c r="K170" s="2"/>
      <c r="L170" s="12"/>
      <c r="M170" s="6"/>
    </row>
    <row r="171" spans="1:13" s="8" customFormat="1" ht="45" customHeight="1" thickBot="1" x14ac:dyDescent="0.3">
      <c r="A171" s="3"/>
      <c r="B171" s="7"/>
      <c r="C171" s="2"/>
      <c r="D171" s="15"/>
      <c r="E171" s="2"/>
      <c r="F171" s="2"/>
      <c r="G171" s="2"/>
      <c r="H171" s="2"/>
      <c r="I171" s="4"/>
      <c r="J171" s="2"/>
      <c r="K171" s="2"/>
      <c r="L171" s="12"/>
      <c r="M171" s="6"/>
    </row>
    <row r="172" spans="1:13" s="8" customFormat="1" ht="45" customHeight="1" thickBot="1" x14ac:dyDescent="0.3">
      <c r="A172" s="3"/>
      <c r="B172" s="7"/>
      <c r="C172" s="2"/>
      <c r="D172" s="16"/>
      <c r="E172" s="2"/>
      <c r="F172" s="2"/>
      <c r="G172" s="2"/>
      <c r="H172" s="2"/>
      <c r="I172" s="4"/>
      <c r="J172" s="2"/>
      <c r="K172" s="2"/>
      <c r="L172" s="12"/>
      <c r="M172" s="6"/>
    </row>
    <row r="173" spans="1:13" s="8" customFormat="1" ht="45" customHeight="1" thickBot="1" x14ac:dyDescent="0.3">
      <c r="A173" s="3"/>
      <c r="B173" s="7"/>
      <c r="C173" s="2"/>
      <c r="D173" s="16"/>
      <c r="E173" s="2"/>
      <c r="F173" s="2"/>
      <c r="G173" s="2"/>
      <c r="H173" s="2"/>
      <c r="I173" s="4"/>
      <c r="J173" s="2"/>
      <c r="K173" s="2"/>
      <c r="L173" s="12"/>
      <c r="M173" s="6"/>
    </row>
    <row r="174" spans="1:13" s="8" customFormat="1" ht="45" customHeight="1" thickBot="1" x14ac:dyDescent="0.3">
      <c r="A174" s="3"/>
      <c r="B174" s="7"/>
      <c r="C174" s="2"/>
      <c r="D174" s="15"/>
      <c r="E174" s="2"/>
      <c r="F174" s="2"/>
      <c r="G174" s="2"/>
      <c r="H174" s="2"/>
      <c r="I174" s="4"/>
      <c r="J174" s="2"/>
      <c r="K174" s="2"/>
      <c r="L174" s="12"/>
      <c r="M174" s="6"/>
    </row>
    <row r="175" spans="1:13" s="8" customFormat="1" ht="45" customHeight="1" thickBot="1" x14ac:dyDescent="0.3">
      <c r="A175" s="3"/>
      <c r="B175" s="7"/>
      <c r="C175" s="2"/>
      <c r="D175" s="15"/>
      <c r="E175" s="2"/>
      <c r="F175" s="2"/>
      <c r="G175" s="2"/>
      <c r="H175" s="2"/>
      <c r="I175" s="4"/>
      <c r="J175" s="2"/>
      <c r="K175" s="2"/>
      <c r="L175" s="12"/>
      <c r="M175" s="6"/>
    </row>
    <row r="176" spans="1:13" s="8" customFormat="1" ht="45" customHeight="1" thickBot="1" x14ac:dyDescent="0.3">
      <c r="A176" s="3"/>
      <c r="B176" s="7"/>
      <c r="C176" s="2"/>
      <c r="D176" s="15"/>
      <c r="E176" s="2"/>
      <c r="F176" s="2"/>
      <c r="G176" s="2"/>
      <c r="H176" s="2"/>
      <c r="I176" s="4"/>
      <c r="J176" s="2"/>
      <c r="K176" s="2"/>
      <c r="L176" s="12"/>
      <c r="M176" s="6"/>
    </row>
    <row r="177" spans="1:13" s="8" customFormat="1" ht="45" customHeight="1" thickBot="1" x14ac:dyDescent="0.3">
      <c r="A177" s="3"/>
      <c r="B177" s="7"/>
      <c r="C177" s="2"/>
      <c r="D177" s="15"/>
      <c r="E177" s="2"/>
      <c r="F177" s="2"/>
      <c r="G177" s="2"/>
      <c r="H177" s="2"/>
      <c r="I177" s="4"/>
      <c r="J177" s="2"/>
      <c r="K177" s="2"/>
      <c r="L177" s="12"/>
      <c r="M177" s="6"/>
    </row>
    <row r="178" spans="1:13" s="8" customFormat="1" ht="45" customHeight="1" thickBot="1" x14ac:dyDescent="0.3">
      <c r="A178" s="3"/>
      <c r="B178" s="7"/>
      <c r="C178" s="2"/>
      <c r="D178" s="15"/>
      <c r="E178" s="2"/>
      <c r="F178" s="2"/>
      <c r="G178" s="2"/>
      <c r="H178" s="2"/>
      <c r="I178" s="4"/>
      <c r="J178" s="2"/>
      <c r="K178" s="2"/>
      <c r="L178" s="12"/>
      <c r="M178" s="6"/>
    </row>
    <row r="179" spans="1:13" s="8" customFormat="1" ht="45" customHeight="1" thickBot="1" x14ac:dyDescent="0.3">
      <c r="A179" s="3"/>
      <c r="B179" s="7"/>
      <c r="C179" s="2"/>
      <c r="D179" s="15"/>
      <c r="E179" s="2"/>
      <c r="F179" s="2"/>
      <c r="G179" s="2"/>
      <c r="H179" s="2"/>
      <c r="I179" s="4"/>
      <c r="J179" s="2"/>
      <c r="K179" s="2"/>
      <c r="L179" s="12"/>
      <c r="M179" s="6"/>
    </row>
    <row r="180" spans="1:13" s="8" customFormat="1" ht="45" customHeight="1" thickBot="1" x14ac:dyDescent="0.3">
      <c r="A180" s="3"/>
      <c r="B180" s="7"/>
      <c r="C180" s="2"/>
      <c r="D180" s="15"/>
      <c r="E180" s="2"/>
      <c r="F180" s="2"/>
      <c r="G180" s="2"/>
      <c r="H180" s="2"/>
      <c r="I180" s="4"/>
      <c r="J180" s="2"/>
      <c r="K180" s="2"/>
      <c r="L180" s="12"/>
      <c r="M180" s="6"/>
    </row>
    <row r="181" spans="1:13" s="8" customFormat="1" ht="45" customHeight="1" thickBot="1" x14ac:dyDescent="0.3">
      <c r="A181" s="3"/>
      <c r="B181" s="7"/>
      <c r="C181" s="2"/>
      <c r="D181" s="15"/>
      <c r="E181" s="2"/>
      <c r="F181" s="2"/>
      <c r="G181" s="2"/>
      <c r="H181" s="2"/>
      <c r="I181" s="4"/>
      <c r="J181" s="2"/>
      <c r="K181" s="2"/>
      <c r="L181" s="12"/>
      <c r="M181" s="6"/>
    </row>
    <row r="182" spans="1:13" s="8" customFormat="1" ht="45" customHeight="1" thickBot="1" x14ac:dyDescent="0.3">
      <c r="A182" s="3"/>
      <c r="B182" s="7"/>
      <c r="C182" s="2"/>
      <c r="D182" s="15"/>
      <c r="E182" s="2"/>
      <c r="F182" s="2"/>
      <c r="G182" s="2"/>
      <c r="H182" s="2"/>
      <c r="I182" s="4"/>
      <c r="J182" s="2"/>
      <c r="K182" s="2"/>
      <c r="L182" s="12"/>
      <c r="M182" s="6"/>
    </row>
    <row r="183" spans="1:13" s="8" customFormat="1" ht="45" customHeight="1" thickBot="1" x14ac:dyDescent="0.3">
      <c r="A183" s="3"/>
      <c r="B183" s="7"/>
      <c r="C183" s="2"/>
      <c r="D183" s="15"/>
      <c r="E183" s="2"/>
      <c r="F183" s="2"/>
      <c r="G183" s="2"/>
      <c r="H183" s="2"/>
      <c r="I183" s="4"/>
      <c r="J183" s="2"/>
      <c r="K183" s="2"/>
      <c r="L183" s="12"/>
      <c r="M183" s="6"/>
    </row>
    <row r="184" spans="1:13" s="8" customFormat="1" ht="45" customHeight="1" thickBot="1" x14ac:dyDescent="0.3">
      <c r="A184" s="3"/>
      <c r="B184" s="7"/>
      <c r="C184" s="2"/>
      <c r="D184" s="15"/>
      <c r="E184" s="2"/>
      <c r="F184" s="2"/>
      <c r="G184" s="2"/>
      <c r="H184" s="2"/>
      <c r="I184" s="4"/>
      <c r="J184" s="2"/>
      <c r="K184" s="2"/>
      <c r="L184" s="12"/>
      <c r="M184" s="6"/>
    </row>
    <row r="185" spans="1:13" s="8" customFormat="1" ht="45" customHeight="1" thickBot="1" x14ac:dyDescent="0.3">
      <c r="A185" s="3"/>
      <c r="B185" s="7"/>
      <c r="C185" s="2"/>
      <c r="D185" s="15"/>
      <c r="E185" s="2"/>
      <c r="F185" s="2"/>
      <c r="G185" s="2"/>
      <c r="H185" s="2"/>
      <c r="I185" s="4"/>
      <c r="J185" s="2"/>
      <c r="K185" s="2"/>
      <c r="L185" s="12"/>
      <c r="M185" s="6"/>
    </row>
    <row r="186" spans="1:13" s="8" customFormat="1" ht="45" customHeight="1" thickBot="1" x14ac:dyDescent="0.3">
      <c r="A186" s="3"/>
      <c r="B186" s="7"/>
      <c r="C186" s="2"/>
      <c r="D186" s="10"/>
      <c r="E186" s="2"/>
      <c r="F186" s="2"/>
      <c r="G186" s="2"/>
      <c r="H186" s="2"/>
      <c r="I186" s="4"/>
      <c r="J186" s="2"/>
      <c r="K186" s="2"/>
      <c r="L186" s="12"/>
      <c r="M186" s="6"/>
    </row>
    <row r="187" spans="1:13" s="8" customFormat="1" ht="45" customHeight="1" thickBot="1" x14ac:dyDescent="0.3">
      <c r="A187" s="3"/>
      <c r="B187" s="7"/>
      <c r="C187" s="2"/>
      <c r="D187" s="15"/>
      <c r="E187" s="2"/>
      <c r="F187" s="2"/>
      <c r="G187" s="2"/>
      <c r="H187" s="2"/>
      <c r="I187" s="4"/>
      <c r="J187" s="2"/>
      <c r="K187" s="2"/>
      <c r="L187" s="12"/>
      <c r="M187" s="6"/>
    </row>
    <row r="188" spans="1:13" s="8" customFormat="1" ht="45" customHeight="1" thickBot="1" x14ac:dyDescent="0.3">
      <c r="A188" s="3"/>
      <c r="B188" s="7"/>
      <c r="C188" s="2"/>
      <c r="D188" s="15"/>
      <c r="E188" s="2"/>
      <c r="F188" s="2"/>
      <c r="G188" s="2"/>
      <c r="H188" s="2"/>
      <c r="I188" s="4"/>
      <c r="J188" s="2"/>
      <c r="K188" s="2"/>
      <c r="L188" s="12"/>
      <c r="M188" s="6"/>
    </row>
    <row r="189" spans="1:13" s="8" customFormat="1" ht="45" customHeight="1" thickBot="1" x14ac:dyDescent="0.3">
      <c r="A189" s="3"/>
      <c r="B189" s="7"/>
      <c r="C189" s="2"/>
      <c r="D189" s="15"/>
      <c r="E189" s="2"/>
      <c r="F189" s="2"/>
      <c r="G189" s="2"/>
      <c r="H189" s="2"/>
      <c r="I189" s="4"/>
      <c r="J189" s="2"/>
      <c r="K189" s="2"/>
      <c r="L189" s="12"/>
      <c r="M189" s="6"/>
    </row>
    <row r="190" spans="1:13" s="8" customFormat="1" ht="45" customHeight="1" thickBot="1" x14ac:dyDescent="0.3">
      <c r="A190" s="3"/>
      <c r="B190" s="7"/>
      <c r="C190" s="2"/>
      <c r="D190" s="15"/>
      <c r="E190" s="2"/>
      <c r="F190" s="2"/>
      <c r="G190" s="2"/>
      <c r="H190" s="2"/>
      <c r="I190" s="4"/>
      <c r="J190" s="2"/>
      <c r="K190" s="2"/>
      <c r="L190" s="12"/>
      <c r="M190" s="6"/>
    </row>
    <row r="191" spans="1:13" s="8" customFormat="1" ht="45" customHeight="1" thickBot="1" x14ac:dyDescent="0.3">
      <c r="A191" s="3"/>
      <c r="B191" s="7"/>
      <c r="C191" s="2"/>
      <c r="D191" s="15"/>
      <c r="E191" s="2"/>
      <c r="F191" s="2"/>
      <c r="G191" s="2"/>
      <c r="H191" s="2"/>
      <c r="I191" s="4"/>
      <c r="J191" s="2"/>
      <c r="K191" s="2"/>
      <c r="L191" s="12"/>
      <c r="M191" s="6"/>
    </row>
    <row r="192" spans="1:13" s="8" customFormat="1" ht="45" customHeight="1" thickBot="1" x14ac:dyDescent="0.3">
      <c r="A192" s="3"/>
      <c r="B192" s="7"/>
      <c r="C192" s="2"/>
      <c r="D192" s="15"/>
      <c r="E192" s="2"/>
      <c r="F192" s="2"/>
      <c r="G192" s="2"/>
      <c r="H192" s="2"/>
      <c r="I192" s="4"/>
      <c r="J192" s="2"/>
      <c r="K192" s="2"/>
      <c r="L192" s="12"/>
      <c r="M192" s="6"/>
    </row>
    <row r="193" spans="1:13" s="8" customFormat="1" ht="45" customHeight="1" thickBot="1" x14ac:dyDescent="0.3">
      <c r="A193" s="3"/>
      <c r="B193" s="7"/>
      <c r="C193" s="2"/>
      <c r="D193" s="15"/>
      <c r="E193" s="2"/>
      <c r="F193" s="2"/>
      <c r="G193" s="2"/>
      <c r="H193" s="2"/>
      <c r="I193" s="4"/>
      <c r="J193" s="2"/>
      <c r="K193" s="2"/>
      <c r="L193" s="12"/>
      <c r="M193" s="6"/>
    </row>
    <row r="194" spans="1:13" s="8" customFormat="1" ht="45" customHeight="1" thickBot="1" x14ac:dyDescent="0.3">
      <c r="A194" s="3"/>
      <c r="B194" s="7"/>
      <c r="C194" s="2"/>
      <c r="D194" s="2"/>
      <c r="E194" s="2"/>
      <c r="F194" s="2"/>
      <c r="G194" s="2"/>
      <c r="H194" s="2"/>
      <c r="I194" s="4"/>
      <c r="J194" s="2"/>
      <c r="K194" s="2"/>
      <c r="L194" s="12"/>
      <c r="M194" s="6"/>
    </row>
    <row r="195" spans="1:13" s="8" customFormat="1" ht="45" customHeight="1" thickBot="1" x14ac:dyDescent="0.3">
      <c r="A195" s="3"/>
      <c r="B195" s="7"/>
      <c r="C195" s="2"/>
      <c r="D195" s="15"/>
      <c r="E195" s="2"/>
      <c r="F195" s="2"/>
      <c r="G195" s="2"/>
      <c r="H195" s="2"/>
      <c r="I195" s="4"/>
      <c r="J195" s="2"/>
      <c r="K195" s="2"/>
      <c r="L195" s="12"/>
      <c r="M195" s="6"/>
    </row>
    <row r="196" spans="1:13" s="8" customFormat="1" ht="45" customHeight="1" thickBot="1" x14ac:dyDescent="0.3">
      <c r="A196" s="3"/>
      <c r="B196" s="7"/>
      <c r="C196" s="2"/>
      <c r="D196" s="15"/>
      <c r="E196" s="2"/>
      <c r="F196" s="2"/>
      <c r="G196" s="2"/>
      <c r="H196" s="2"/>
      <c r="I196" s="4"/>
      <c r="J196" s="2"/>
      <c r="K196" s="2"/>
      <c r="L196" s="12"/>
      <c r="M196" s="6"/>
    </row>
    <row r="197" spans="1:13" s="8" customFormat="1" ht="45" customHeight="1" thickBot="1" x14ac:dyDescent="0.3">
      <c r="A197" s="3"/>
      <c r="B197" s="7"/>
      <c r="C197" s="2"/>
      <c r="D197" s="15"/>
      <c r="E197" s="2"/>
      <c r="F197" s="2"/>
      <c r="G197" s="2"/>
      <c r="H197" s="2"/>
      <c r="I197" s="4"/>
      <c r="J197" s="2"/>
      <c r="K197" s="2"/>
      <c r="L197" s="12"/>
      <c r="M197" s="6"/>
    </row>
    <row r="198" spans="1:13" s="8" customFormat="1" ht="45" customHeight="1" thickBot="1" x14ac:dyDescent="0.3">
      <c r="A198" s="3"/>
      <c r="B198" s="7"/>
      <c r="C198" s="2"/>
      <c r="D198" s="15"/>
      <c r="E198" s="2"/>
      <c r="F198" s="2"/>
      <c r="G198" s="2"/>
      <c r="H198" s="2"/>
      <c r="I198" s="4"/>
      <c r="J198" s="2"/>
      <c r="K198" s="2"/>
      <c r="L198" s="12"/>
      <c r="M198" s="6"/>
    </row>
    <row r="199" spans="1:13" s="8" customFormat="1" ht="45" customHeight="1" thickBot="1" x14ac:dyDescent="0.3">
      <c r="A199" s="3"/>
      <c r="B199" s="7"/>
      <c r="C199" s="2"/>
      <c r="D199" s="15"/>
      <c r="E199" s="2"/>
      <c r="F199" s="2"/>
      <c r="G199" s="2"/>
      <c r="H199" s="2"/>
      <c r="I199" s="4"/>
      <c r="J199" s="2"/>
      <c r="K199" s="2"/>
      <c r="L199" s="12"/>
      <c r="M199" s="6"/>
    </row>
    <row r="200" spans="1:13" s="8" customFormat="1" ht="45" customHeight="1" thickBot="1" x14ac:dyDescent="0.3">
      <c r="A200" s="3"/>
      <c r="B200" s="7"/>
      <c r="C200" s="2"/>
      <c r="D200" s="15"/>
      <c r="E200" s="2"/>
      <c r="F200" s="2"/>
      <c r="G200" s="2"/>
      <c r="H200" s="2"/>
      <c r="I200" s="4"/>
      <c r="J200" s="2"/>
      <c r="K200" s="2"/>
      <c r="L200" s="12"/>
      <c r="M200" s="6"/>
    </row>
    <row r="201" spans="1:13" s="8" customFormat="1" ht="45" customHeight="1" thickBot="1" x14ac:dyDescent="0.3">
      <c r="A201" s="3"/>
      <c r="B201" s="7"/>
      <c r="C201" s="2"/>
      <c r="D201" s="15"/>
      <c r="E201" s="2"/>
      <c r="F201" s="2"/>
      <c r="G201" s="2"/>
      <c r="H201" s="2"/>
      <c r="I201" s="4"/>
      <c r="J201" s="2"/>
      <c r="K201" s="2"/>
      <c r="L201" s="12"/>
      <c r="M201" s="6"/>
    </row>
    <row r="202" spans="1:13" s="8" customFormat="1" ht="45" customHeight="1" thickBot="1" x14ac:dyDescent="0.3">
      <c r="A202" s="3"/>
      <c r="B202" s="7"/>
      <c r="C202" s="2"/>
      <c r="D202" s="15"/>
      <c r="E202" s="2"/>
      <c r="F202" s="2"/>
      <c r="G202" s="2"/>
      <c r="H202" s="2"/>
      <c r="I202" s="4"/>
      <c r="J202" s="2"/>
      <c r="K202" s="2"/>
      <c r="L202" s="12"/>
      <c r="M202" s="6"/>
    </row>
    <row r="203" spans="1:13" s="8" customFormat="1" ht="45" customHeight="1" thickBot="1" x14ac:dyDescent="0.3">
      <c r="A203" s="3"/>
      <c r="B203" s="7"/>
      <c r="C203" s="2"/>
      <c r="D203" s="15"/>
      <c r="E203" s="2"/>
      <c r="F203" s="2"/>
      <c r="G203" s="2"/>
      <c r="H203" s="2"/>
      <c r="I203" s="4"/>
      <c r="J203" s="2"/>
      <c r="K203" s="2"/>
      <c r="L203" s="12"/>
      <c r="M203" s="6"/>
    </row>
    <row r="204" spans="1:13" s="8" customFormat="1" ht="45" customHeight="1" thickBot="1" x14ac:dyDescent="0.3">
      <c r="A204" s="3"/>
      <c r="B204" s="7"/>
      <c r="C204" s="2"/>
      <c r="D204" s="15"/>
      <c r="E204" s="2"/>
      <c r="F204" s="2"/>
      <c r="G204" s="2"/>
      <c r="H204" s="2"/>
      <c r="I204" s="4"/>
      <c r="J204" s="2"/>
      <c r="K204" s="2"/>
      <c r="L204" s="12"/>
      <c r="M204" s="6"/>
    </row>
    <row r="205" spans="1:13" s="8" customFormat="1" ht="45" customHeight="1" thickBot="1" x14ac:dyDescent="0.3">
      <c r="A205" s="3"/>
      <c r="B205" s="7"/>
      <c r="C205" s="2"/>
      <c r="D205" s="15"/>
      <c r="E205" s="2"/>
      <c r="F205" s="2"/>
      <c r="G205" s="2"/>
      <c r="H205" s="2"/>
      <c r="I205" s="4"/>
      <c r="J205" s="2"/>
      <c r="K205" s="2"/>
      <c r="L205" s="12"/>
      <c r="M205" s="6"/>
    </row>
    <row r="206" spans="1:13" s="8" customFormat="1" ht="45" customHeight="1" thickBot="1" x14ac:dyDescent="0.3">
      <c r="A206" s="3"/>
      <c r="B206" s="7"/>
      <c r="C206" s="2"/>
      <c r="D206" s="15"/>
      <c r="E206" s="2"/>
      <c r="F206" s="2"/>
      <c r="G206" s="2"/>
      <c r="H206" s="2"/>
      <c r="I206" s="4"/>
      <c r="J206" s="2"/>
      <c r="K206" s="2"/>
      <c r="L206" s="12"/>
      <c r="M206" s="6"/>
    </row>
    <row r="207" spans="1:13" s="8" customFormat="1" ht="45" customHeight="1" thickBot="1" x14ac:dyDescent="0.3">
      <c r="A207" s="3"/>
      <c r="B207" s="7"/>
      <c r="C207" s="2"/>
      <c r="D207" s="15"/>
      <c r="E207" s="2"/>
      <c r="F207" s="2"/>
      <c r="G207" s="2"/>
      <c r="H207" s="2"/>
      <c r="I207" s="4"/>
      <c r="J207" s="2"/>
      <c r="K207" s="2"/>
      <c r="L207" s="12"/>
      <c r="M207" s="6"/>
    </row>
    <row r="208" spans="1:13" s="8" customFormat="1" ht="45" customHeight="1" thickBot="1" x14ac:dyDescent="0.3">
      <c r="A208" s="3"/>
      <c r="B208" s="7"/>
      <c r="C208" s="2"/>
      <c r="D208" s="10"/>
      <c r="E208" s="7"/>
      <c r="F208" s="2"/>
      <c r="G208" s="2"/>
      <c r="H208" s="2"/>
      <c r="I208" s="4"/>
      <c r="J208" s="2"/>
      <c r="K208" s="2"/>
      <c r="L208" s="12"/>
      <c r="M208" s="6"/>
    </row>
    <row r="209" spans="1:13" s="8" customFormat="1" ht="45" customHeight="1" thickBot="1" x14ac:dyDescent="0.3">
      <c r="A209" s="3"/>
      <c r="B209" s="7"/>
      <c r="C209" s="4"/>
      <c r="D209" s="10"/>
      <c r="E209" s="7"/>
      <c r="F209" s="2"/>
      <c r="G209" s="2"/>
      <c r="H209" s="2"/>
      <c r="I209" s="4"/>
      <c r="J209" s="2"/>
      <c r="K209" s="2"/>
      <c r="L209" s="12"/>
      <c r="M209" s="6"/>
    </row>
    <row r="210" spans="1:13" s="8" customFormat="1" ht="45" customHeight="1" thickBot="1" x14ac:dyDescent="0.3">
      <c r="A210" s="3"/>
      <c r="B210" s="7"/>
      <c r="C210" s="7"/>
      <c r="D210" s="15"/>
      <c r="E210" s="7"/>
      <c r="F210" s="2"/>
      <c r="G210" s="2"/>
      <c r="H210" s="2"/>
      <c r="I210" s="4"/>
      <c r="J210" s="2"/>
      <c r="K210" s="2"/>
      <c r="L210" s="12"/>
      <c r="M210" s="6"/>
    </row>
    <row r="211" spans="1:13" s="8" customFormat="1" ht="45" customHeight="1" thickBot="1" x14ac:dyDescent="0.3">
      <c r="A211" s="3"/>
      <c r="B211" s="7"/>
      <c r="C211" s="7"/>
      <c r="D211" s="15"/>
      <c r="E211" s="7"/>
      <c r="F211" s="2"/>
      <c r="G211" s="2"/>
      <c r="H211" s="2"/>
      <c r="I211" s="4"/>
      <c r="J211" s="2"/>
      <c r="K211" s="2"/>
      <c r="L211" s="12"/>
      <c r="M211" s="6"/>
    </row>
    <row r="212" spans="1:13" s="8" customFormat="1" ht="45" customHeight="1" thickBot="1" x14ac:dyDescent="0.3">
      <c r="A212" s="3"/>
      <c r="B212" s="7"/>
      <c r="C212" s="7"/>
      <c r="D212" s="15"/>
      <c r="E212" s="7"/>
      <c r="F212" s="2"/>
      <c r="G212" s="2"/>
      <c r="H212" s="2"/>
      <c r="I212" s="4"/>
      <c r="J212" s="2"/>
      <c r="K212" s="2"/>
      <c r="L212" s="12"/>
      <c r="M212" s="6"/>
    </row>
    <row r="213" spans="1:13" s="8" customFormat="1" ht="45" customHeight="1" thickBot="1" x14ac:dyDescent="0.3">
      <c r="A213" s="3"/>
      <c r="B213" s="7"/>
      <c r="C213" s="7"/>
      <c r="D213" s="15"/>
      <c r="E213" s="7"/>
      <c r="F213" s="2"/>
      <c r="G213" s="2"/>
      <c r="H213" s="2"/>
      <c r="I213" s="4"/>
      <c r="J213" s="2"/>
      <c r="K213" s="2"/>
      <c r="L213" s="12"/>
      <c r="M213" s="6"/>
    </row>
    <row r="214" spans="1:13" s="8" customFormat="1" ht="45" customHeight="1" thickBot="1" x14ac:dyDescent="0.3">
      <c r="A214" s="3"/>
      <c r="B214" s="7"/>
      <c r="C214" s="7"/>
      <c r="D214" s="15"/>
      <c r="E214" s="7"/>
      <c r="F214" s="2"/>
      <c r="G214" s="2"/>
      <c r="H214" s="2"/>
      <c r="I214" s="4"/>
      <c r="J214" s="2"/>
      <c r="K214" s="2"/>
      <c r="L214" s="12"/>
      <c r="M214" s="6"/>
    </row>
    <row r="215" spans="1:13" s="8" customFormat="1" ht="45" customHeight="1" thickBot="1" x14ac:dyDescent="0.3">
      <c r="A215" s="3"/>
      <c r="B215" s="7"/>
      <c r="C215" s="7"/>
      <c r="D215" s="15"/>
      <c r="E215" s="7"/>
      <c r="F215" s="2"/>
      <c r="G215" s="2"/>
      <c r="H215" s="2"/>
      <c r="I215" s="4"/>
      <c r="J215" s="2"/>
      <c r="K215" s="2"/>
      <c r="L215" s="12"/>
      <c r="M215" s="6"/>
    </row>
    <row r="216" spans="1:13" s="8" customFormat="1" ht="45" customHeight="1" thickBot="1" x14ac:dyDescent="0.3">
      <c r="A216" s="3"/>
      <c r="B216" s="7"/>
      <c r="C216" s="7"/>
      <c r="D216" s="16"/>
      <c r="E216" s="7"/>
      <c r="F216" s="2"/>
      <c r="G216" s="2"/>
      <c r="H216" s="2"/>
      <c r="I216" s="4"/>
      <c r="J216" s="2"/>
      <c r="K216" s="2"/>
      <c r="L216" s="12"/>
      <c r="M216" s="6"/>
    </row>
    <row r="217" spans="1:13" s="8" customFormat="1" ht="45" customHeight="1" thickBot="1" x14ac:dyDescent="0.3">
      <c r="A217" s="3"/>
      <c r="B217" s="7"/>
      <c r="C217" s="4"/>
      <c r="D217" s="13"/>
      <c r="E217" s="7"/>
      <c r="F217" s="2"/>
      <c r="G217" s="2"/>
      <c r="H217" s="7"/>
      <c r="I217" s="4"/>
      <c r="J217" s="2"/>
      <c r="K217" s="2"/>
      <c r="L217" s="12"/>
      <c r="M217" s="6"/>
    </row>
    <row r="218" spans="1:13" s="8" customFormat="1" ht="45" customHeight="1" thickBot="1" x14ac:dyDescent="0.3">
      <c r="A218" s="3"/>
      <c r="B218" s="7"/>
      <c r="C218" s="4"/>
      <c r="D218" s="13"/>
      <c r="E218" s="7"/>
      <c r="F218" s="2"/>
      <c r="G218" s="2"/>
      <c r="H218" s="7"/>
      <c r="I218" s="4"/>
      <c r="J218" s="2"/>
      <c r="K218" s="2"/>
      <c r="L218" s="12"/>
      <c r="M218" s="6"/>
    </row>
    <row r="219" spans="1:13" s="8" customFormat="1" ht="45" customHeight="1" thickBot="1" x14ac:dyDescent="0.3">
      <c r="A219" s="3"/>
      <c r="B219" s="7"/>
      <c r="C219" s="4"/>
      <c r="D219" s="13"/>
      <c r="E219" s="7"/>
      <c r="F219" s="2"/>
      <c r="G219" s="2"/>
      <c r="H219" s="7"/>
      <c r="I219" s="4"/>
      <c r="J219" s="2"/>
      <c r="K219" s="2"/>
      <c r="L219" s="12"/>
      <c r="M219" s="6"/>
    </row>
    <row r="220" spans="1:13" s="8" customFormat="1" ht="45" customHeight="1" thickBot="1" x14ac:dyDescent="0.3">
      <c r="A220" s="3"/>
      <c r="B220" s="7"/>
      <c r="C220" s="7"/>
      <c r="D220" s="15"/>
      <c r="E220" s="7"/>
      <c r="F220" s="2"/>
      <c r="G220" s="2"/>
      <c r="H220" s="2"/>
      <c r="I220" s="4"/>
      <c r="J220" s="2"/>
      <c r="K220" s="2"/>
      <c r="L220" s="12"/>
      <c r="M220" s="6"/>
    </row>
    <row r="221" spans="1:13" s="8" customFormat="1" ht="45" customHeight="1" thickBot="1" x14ac:dyDescent="0.3">
      <c r="A221" s="3"/>
      <c r="B221" s="7"/>
      <c r="C221" s="7"/>
      <c r="D221" s="16"/>
      <c r="E221" s="7"/>
      <c r="F221" s="2"/>
      <c r="G221" s="2"/>
      <c r="H221" s="2"/>
      <c r="I221" s="4"/>
      <c r="J221" s="2"/>
      <c r="K221" s="2"/>
      <c r="L221" s="12"/>
      <c r="M221" s="6"/>
    </row>
    <row r="222" spans="1:13" ht="45" customHeight="1" thickBot="1" x14ac:dyDescent="0.3">
      <c r="A222" s="3"/>
      <c r="B222" s="7"/>
      <c r="C222" s="7"/>
      <c r="D222" s="2"/>
      <c r="E222" s="7"/>
      <c r="F222" s="2"/>
      <c r="G222" s="2"/>
      <c r="H222" s="7"/>
      <c r="I222" s="4"/>
      <c r="J222" s="4"/>
      <c r="K222" s="4"/>
      <c r="L222" s="11"/>
      <c r="M222" s="5"/>
    </row>
    <row r="223" spans="1:13" ht="45" customHeight="1" thickBot="1" x14ac:dyDescent="0.3">
      <c r="A223" s="3"/>
      <c r="B223" s="7"/>
      <c r="C223" s="7"/>
      <c r="D223" s="2"/>
      <c r="E223" s="7"/>
      <c r="F223" s="2"/>
      <c r="G223" s="2"/>
      <c r="H223" s="7"/>
      <c r="I223" s="4"/>
      <c r="J223" s="4"/>
      <c r="K223" s="4"/>
      <c r="L223" s="11"/>
      <c r="M223" s="5"/>
    </row>
    <row r="224" spans="1:13" ht="45" customHeight="1" thickBot="1" x14ac:dyDescent="0.3">
      <c r="A224" s="3"/>
      <c r="B224" s="7"/>
      <c r="C224" s="7"/>
      <c r="D224" s="2"/>
      <c r="E224" s="7"/>
      <c r="F224" s="2"/>
      <c r="G224" s="2"/>
      <c r="H224" s="7"/>
      <c r="I224" s="4"/>
      <c r="J224" s="4"/>
      <c r="K224" s="4"/>
      <c r="L224" s="11"/>
      <c r="M224" s="5"/>
    </row>
    <row r="225" spans="1:13" ht="45" customHeight="1" thickBot="1" x14ac:dyDescent="0.3">
      <c r="A225" s="3"/>
      <c r="B225" s="7"/>
      <c r="C225" s="7"/>
      <c r="D225" s="2"/>
      <c r="E225" s="7"/>
      <c r="F225" s="2"/>
      <c r="G225" s="2"/>
      <c r="H225" s="7"/>
      <c r="I225" s="4"/>
      <c r="J225" s="4"/>
      <c r="K225" s="4"/>
      <c r="L225" s="11"/>
      <c r="M225" s="5"/>
    </row>
    <row r="226" spans="1:13" ht="45" customHeight="1" thickBot="1" x14ac:dyDescent="0.3">
      <c r="A226" s="3"/>
      <c r="B226" s="7"/>
      <c r="C226" s="7"/>
      <c r="D226" s="2"/>
      <c r="E226" s="7"/>
      <c r="F226" s="2"/>
      <c r="G226" s="2"/>
      <c r="H226" s="7"/>
      <c r="I226" s="4"/>
      <c r="J226" s="4"/>
      <c r="K226" s="4"/>
      <c r="L226" s="11"/>
      <c r="M226" s="5"/>
    </row>
    <row r="227" spans="1:13" ht="45" customHeight="1" thickBot="1" x14ac:dyDescent="0.3">
      <c r="A227" s="3"/>
      <c r="B227" s="7"/>
      <c r="C227" s="7"/>
      <c r="D227" s="2"/>
      <c r="E227" s="7"/>
      <c r="F227" s="2"/>
      <c r="G227" s="2"/>
      <c r="H227" s="7"/>
      <c r="I227" s="4"/>
      <c r="J227" s="4"/>
      <c r="K227" s="4"/>
      <c r="L227" s="11"/>
      <c r="M227" s="5"/>
    </row>
    <row r="228" spans="1:13" s="8" customFormat="1" ht="45" customHeight="1" thickBot="1" x14ac:dyDescent="0.3">
      <c r="A228" s="3"/>
      <c r="B228" s="7"/>
      <c r="C228" s="4"/>
      <c r="D228" s="10"/>
      <c r="E228" s="7"/>
      <c r="F228" s="2"/>
      <c r="G228" s="2"/>
      <c r="H228" s="7"/>
      <c r="I228" s="4"/>
      <c r="J228" s="2"/>
      <c r="K228" s="2"/>
      <c r="L228" s="12"/>
      <c r="M228" s="6"/>
    </row>
    <row r="229" spans="1:13" s="8" customFormat="1" ht="45" customHeight="1" thickBot="1" x14ac:dyDescent="0.3">
      <c r="A229" s="3"/>
      <c r="B229" s="7"/>
      <c r="C229" s="4"/>
      <c r="D229" s="10"/>
      <c r="E229" s="7"/>
      <c r="F229" s="2"/>
      <c r="G229" s="2"/>
      <c r="H229" s="7"/>
      <c r="I229" s="4"/>
      <c r="J229" s="2"/>
      <c r="K229" s="2"/>
      <c r="L229" s="12"/>
      <c r="M229" s="6"/>
    </row>
    <row r="230" spans="1:13" s="8" customFormat="1" ht="45" customHeight="1" thickBot="1" x14ac:dyDescent="0.3">
      <c r="A230" s="3"/>
      <c r="B230" s="7"/>
      <c r="C230" s="4"/>
      <c r="D230" s="15"/>
      <c r="E230" s="7"/>
      <c r="F230" s="2"/>
      <c r="G230" s="2"/>
      <c r="H230" s="7"/>
      <c r="I230" s="4"/>
      <c r="J230" s="2"/>
      <c r="K230" s="2"/>
      <c r="L230" s="12"/>
      <c r="M230" s="27"/>
    </row>
    <row r="231" spans="1:13" s="8" customFormat="1" ht="45" customHeight="1" thickBot="1" x14ac:dyDescent="0.3">
      <c r="A231" s="3"/>
      <c r="B231" s="7"/>
      <c r="C231" s="4"/>
      <c r="D231" s="2"/>
      <c r="E231" s="7"/>
      <c r="F231" s="2"/>
      <c r="G231" s="2"/>
      <c r="H231" s="7"/>
      <c r="I231" s="4"/>
      <c r="J231" s="2"/>
      <c r="K231" s="2"/>
      <c r="L231" s="12"/>
      <c r="M231" s="6"/>
    </row>
    <row r="232" spans="1:13" s="8" customFormat="1" ht="45" customHeight="1" thickBot="1" x14ac:dyDescent="0.3">
      <c r="A232" s="3"/>
      <c r="B232" s="7"/>
      <c r="C232" s="4"/>
      <c r="D232" s="2"/>
      <c r="E232" s="7"/>
      <c r="F232" s="2"/>
      <c r="G232" s="2"/>
      <c r="H232" s="7"/>
      <c r="I232" s="4"/>
      <c r="J232" s="2"/>
      <c r="K232" s="2"/>
      <c r="L232" s="12"/>
      <c r="M232" s="6"/>
    </row>
    <row r="233" spans="1:13" s="8" customFormat="1" ht="45" customHeight="1" thickBot="1" x14ac:dyDescent="0.3">
      <c r="A233" s="3"/>
      <c r="B233" s="7"/>
      <c r="C233" s="4"/>
      <c r="D233" s="2"/>
      <c r="E233" s="7"/>
      <c r="F233" s="2"/>
      <c r="G233" s="2"/>
      <c r="H233" s="7"/>
      <c r="I233" s="4"/>
      <c r="J233" s="2"/>
      <c r="K233" s="2"/>
      <c r="L233" s="12"/>
      <c r="M233" s="6"/>
    </row>
    <row r="234" spans="1:13" ht="45" customHeight="1" thickBot="1" x14ac:dyDescent="0.3">
      <c r="A234" s="3"/>
      <c r="B234" s="7"/>
      <c r="C234" s="7"/>
      <c r="D234" s="2"/>
      <c r="E234" s="7"/>
      <c r="F234" s="7"/>
      <c r="G234" s="7"/>
      <c r="H234" s="7"/>
      <c r="I234" s="4"/>
      <c r="J234" s="4"/>
      <c r="K234" s="4"/>
      <c r="L234" s="11"/>
      <c r="M234" s="5"/>
    </row>
    <row r="235" spans="1:13" ht="45" customHeight="1" thickBot="1" x14ac:dyDescent="0.3">
      <c r="A235" s="3"/>
      <c r="B235" s="7"/>
      <c r="C235" s="7"/>
      <c r="D235" s="2"/>
      <c r="E235" s="7"/>
      <c r="F235" s="7"/>
      <c r="G235" s="7"/>
      <c r="H235" s="7"/>
      <c r="I235" s="4"/>
      <c r="J235" s="4"/>
      <c r="K235" s="4"/>
      <c r="L235" s="11"/>
      <c r="M235" s="5"/>
    </row>
    <row r="236" spans="1:13" ht="45" customHeight="1" thickBot="1" x14ac:dyDescent="0.3">
      <c r="A236" s="3"/>
      <c r="B236" s="7"/>
      <c r="C236" s="7"/>
      <c r="D236" s="2"/>
      <c r="E236" s="7"/>
      <c r="F236" s="7"/>
      <c r="G236" s="7"/>
      <c r="H236" s="7"/>
      <c r="I236" s="4"/>
      <c r="J236" s="4"/>
      <c r="K236" s="4"/>
      <c r="L236" s="11"/>
      <c r="M236" s="5"/>
    </row>
    <row r="237" spans="1:13" ht="45" customHeight="1" thickBot="1" x14ac:dyDescent="0.3">
      <c r="A237" s="3"/>
      <c r="B237" s="7"/>
      <c r="C237" s="7"/>
      <c r="D237" s="2"/>
      <c r="E237" s="7"/>
      <c r="F237" s="7"/>
      <c r="G237" s="7"/>
      <c r="H237" s="7"/>
      <c r="I237" s="4"/>
      <c r="J237" s="4"/>
      <c r="K237" s="4"/>
      <c r="L237" s="11"/>
      <c r="M237" s="5"/>
    </row>
    <row r="238" spans="1:13" ht="45" customHeight="1" thickBot="1" x14ac:dyDescent="0.3">
      <c r="A238" s="3"/>
      <c r="B238" s="7"/>
      <c r="C238" s="7"/>
      <c r="D238" s="2"/>
      <c r="E238" s="7"/>
      <c r="F238" s="7"/>
      <c r="G238" s="7"/>
      <c r="H238" s="7"/>
      <c r="I238" s="4"/>
      <c r="J238" s="4"/>
      <c r="K238" s="4"/>
      <c r="L238" s="11"/>
      <c r="M238" s="5"/>
    </row>
    <row r="239" spans="1:13" s="8" customFormat="1" ht="45" customHeight="1" thickBot="1" x14ac:dyDescent="0.3">
      <c r="A239" s="3"/>
      <c r="B239" s="7"/>
      <c r="C239" s="7"/>
      <c r="D239" s="10"/>
      <c r="E239" s="7"/>
      <c r="F239" s="7"/>
      <c r="G239" s="7"/>
      <c r="H239" s="7"/>
      <c r="I239" s="4"/>
      <c r="J239" s="4"/>
      <c r="K239" s="2"/>
      <c r="L239" s="12"/>
      <c r="M239" s="27"/>
    </row>
    <row r="240" spans="1:13" s="8" customFormat="1" ht="45" customHeight="1" thickBot="1" x14ac:dyDescent="0.3">
      <c r="A240" s="3"/>
      <c r="B240" s="7"/>
      <c r="C240" s="7"/>
      <c r="D240" s="10"/>
      <c r="E240" s="7"/>
      <c r="F240" s="7"/>
      <c r="G240" s="7"/>
      <c r="H240" s="7"/>
      <c r="I240" s="4"/>
      <c r="J240" s="4"/>
      <c r="K240" s="2"/>
      <c r="L240" s="12"/>
      <c r="M240" s="27"/>
    </row>
    <row r="241" spans="1:13" s="8" customFormat="1" ht="45" customHeight="1" thickBot="1" x14ac:dyDescent="0.3">
      <c r="A241" s="3"/>
      <c r="B241" s="7"/>
      <c r="C241" s="7"/>
      <c r="D241" s="10"/>
      <c r="E241" s="7"/>
      <c r="F241" s="7"/>
      <c r="G241" s="7"/>
      <c r="H241" s="7"/>
      <c r="I241" s="4"/>
      <c r="J241" s="4"/>
      <c r="K241" s="2"/>
      <c r="L241" s="12"/>
      <c r="M241" s="27"/>
    </row>
    <row r="242" spans="1:13" s="8" customFormat="1" ht="45" customHeight="1" thickBot="1" x14ac:dyDescent="0.3">
      <c r="A242" s="3"/>
      <c r="B242" s="7"/>
      <c r="C242" s="7"/>
      <c r="D242" s="10"/>
      <c r="E242" s="7"/>
      <c r="F242" s="7"/>
      <c r="G242" s="7"/>
      <c r="H242" s="7"/>
      <c r="I242" s="4"/>
      <c r="J242" s="4"/>
      <c r="K242" s="2"/>
      <c r="L242" s="12"/>
      <c r="M242" s="27"/>
    </row>
    <row r="243" spans="1:13" ht="45" customHeight="1" thickBot="1" x14ac:dyDescent="0.3">
      <c r="A243" s="3"/>
      <c r="B243" s="7"/>
      <c r="C243" s="7"/>
      <c r="D243" s="2"/>
      <c r="E243" s="7"/>
      <c r="F243" s="7"/>
      <c r="G243" s="7"/>
      <c r="H243" s="7"/>
      <c r="I243" s="4"/>
      <c r="J243" s="4"/>
      <c r="K243" s="4"/>
      <c r="L243" s="11"/>
      <c r="M243" s="5"/>
    </row>
    <row r="244" spans="1:13" s="8" customFormat="1" ht="45" customHeight="1" thickBot="1" x14ac:dyDescent="0.3">
      <c r="A244" s="3"/>
      <c r="B244" s="7"/>
      <c r="C244" s="2"/>
      <c r="D244" s="10"/>
      <c r="E244" s="7"/>
      <c r="F244" s="7"/>
      <c r="G244" s="7"/>
      <c r="H244" s="4"/>
      <c r="I244" s="4"/>
      <c r="J244" s="2"/>
      <c r="K244" s="2"/>
      <c r="L244" s="12"/>
      <c r="M244" s="6"/>
    </row>
    <row r="245" spans="1:13" s="8" customFormat="1" ht="45" customHeight="1" thickBot="1" x14ac:dyDescent="0.3">
      <c r="A245" s="3"/>
      <c r="B245" s="7"/>
      <c r="C245" s="2"/>
      <c r="D245" s="10"/>
      <c r="E245" s="7"/>
      <c r="F245" s="7"/>
      <c r="G245" s="7"/>
      <c r="H245" s="4"/>
      <c r="I245" s="4"/>
      <c r="J245" s="2"/>
      <c r="K245" s="2"/>
      <c r="L245" s="12"/>
      <c r="M245" s="6"/>
    </row>
    <row r="246" spans="1:13" s="8" customFormat="1" ht="45" customHeight="1" thickBot="1" x14ac:dyDescent="0.3">
      <c r="A246" s="3"/>
      <c r="B246" s="7"/>
      <c r="C246" s="2"/>
      <c r="D246" s="10"/>
      <c r="E246" s="7"/>
      <c r="F246" s="7"/>
      <c r="G246" s="7"/>
      <c r="H246" s="4"/>
      <c r="I246" s="4"/>
      <c r="J246" s="2"/>
      <c r="K246" s="2"/>
      <c r="L246" s="12"/>
      <c r="M246" s="6"/>
    </row>
    <row r="247" spans="1:13" s="8" customFormat="1" ht="45" customHeight="1" thickBot="1" x14ac:dyDescent="0.3">
      <c r="A247" s="3"/>
      <c r="B247" s="7"/>
      <c r="C247" s="2"/>
      <c r="D247" s="10"/>
      <c r="E247" s="7"/>
      <c r="F247" s="7"/>
      <c r="G247" s="7"/>
      <c r="H247" s="4"/>
      <c r="I247" s="4"/>
      <c r="J247" s="2"/>
      <c r="K247" s="2"/>
      <c r="L247" s="12"/>
      <c r="M247" s="6"/>
    </row>
    <row r="248" spans="1:13" s="8" customFormat="1" ht="45" customHeight="1" thickBot="1" x14ac:dyDescent="0.3">
      <c r="A248" s="3"/>
      <c r="B248" s="7"/>
      <c r="C248" s="2"/>
      <c r="D248" s="10"/>
      <c r="E248" s="7"/>
      <c r="F248" s="7"/>
      <c r="G248" s="7"/>
      <c r="H248" s="4"/>
      <c r="I248" s="4"/>
      <c r="J248" s="2"/>
      <c r="K248" s="2"/>
      <c r="L248" s="12"/>
      <c r="M248" s="6"/>
    </row>
    <row r="249" spans="1:13" s="8" customFormat="1" ht="45" customHeight="1" thickBot="1" x14ac:dyDescent="0.3">
      <c r="A249" s="3"/>
      <c r="B249" s="7"/>
      <c r="C249" s="2"/>
      <c r="D249" s="10"/>
      <c r="E249" s="7"/>
      <c r="F249" s="2"/>
      <c r="G249" s="2"/>
      <c r="H249" s="7"/>
      <c r="I249" s="4"/>
      <c r="J249" s="2"/>
      <c r="K249" s="2"/>
      <c r="L249" s="12"/>
      <c r="M249" s="6"/>
    </row>
    <row r="250" spans="1:13" s="8" customFormat="1" ht="45" customHeight="1" thickBot="1" x14ac:dyDescent="0.3">
      <c r="A250" s="3"/>
      <c r="B250" s="7"/>
      <c r="C250" s="2"/>
      <c r="D250" s="10"/>
      <c r="E250" s="7"/>
      <c r="F250" s="2"/>
      <c r="G250" s="2"/>
      <c r="H250" s="7"/>
      <c r="I250" s="4"/>
      <c r="J250" s="2"/>
      <c r="K250" s="2"/>
      <c r="L250" s="12"/>
      <c r="M250" s="6"/>
    </row>
    <row r="251" spans="1:13" s="8" customFormat="1" ht="45" customHeight="1" thickBot="1" x14ac:dyDescent="0.3">
      <c r="A251" s="3"/>
      <c r="B251" s="7"/>
      <c r="C251" s="2"/>
      <c r="D251" s="10"/>
      <c r="E251" s="7"/>
      <c r="F251" s="2"/>
      <c r="G251" s="2"/>
      <c r="H251" s="7"/>
      <c r="I251" s="4"/>
      <c r="J251" s="2"/>
      <c r="K251" s="2"/>
      <c r="L251" s="12"/>
      <c r="M251" s="27"/>
    </row>
    <row r="252" spans="1:13" s="8" customFormat="1" ht="45" customHeight="1" thickBot="1" x14ac:dyDescent="0.3">
      <c r="A252" s="3"/>
      <c r="B252" s="7"/>
      <c r="C252" s="10"/>
      <c r="D252" s="10"/>
      <c r="E252" s="7"/>
      <c r="F252" s="2"/>
      <c r="G252" s="2"/>
      <c r="H252" s="7"/>
      <c r="I252" s="4"/>
      <c r="J252" s="2"/>
      <c r="K252" s="2"/>
      <c r="L252" s="12"/>
      <c r="M252" s="6"/>
    </row>
    <row r="253" spans="1:13" s="8" customFormat="1" ht="45" customHeight="1" thickBot="1" x14ac:dyDescent="0.3">
      <c r="A253" s="3"/>
      <c r="B253" s="7"/>
      <c r="C253" s="10"/>
      <c r="D253" s="2"/>
      <c r="E253" s="7"/>
      <c r="F253" s="2"/>
      <c r="G253" s="2"/>
      <c r="H253" s="7"/>
      <c r="I253" s="4"/>
      <c r="J253" s="2"/>
      <c r="K253" s="2"/>
      <c r="L253" s="12"/>
      <c r="M253" s="6"/>
    </row>
    <row r="254" spans="1:13" s="8" customFormat="1" ht="45" customHeight="1" thickBot="1" x14ac:dyDescent="0.3">
      <c r="A254" s="3"/>
      <c r="B254" s="7"/>
      <c r="C254" s="10"/>
      <c r="D254" s="10"/>
      <c r="E254" s="7"/>
      <c r="F254" s="2"/>
      <c r="G254" s="2"/>
      <c r="H254" s="7"/>
      <c r="I254" s="4"/>
      <c r="J254" s="2"/>
      <c r="K254" s="2"/>
      <c r="L254" s="12"/>
      <c r="M254" s="6"/>
    </row>
    <row r="255" spans="1:13" s="8" customFormat="1" ht="45" customHeight="1" thickBot="1" x14ac:dyDescent="0.3">
      <c r="A255" s="3"/>
      <c r="B255" s="7"/>
      <c r="C255" s="4"/>
      <c r="D255" s="13"/>
      <c r="E255" s="7"/>
      <c r="F255" s="2"/>
      <c r="G255" s="2"/>
      <c r="H255" s="7"/>
      <c r="I255" s="4"/>
      <c r="J255" s="2"/>
      <c r="K255" s="2"/>
      <c r="L255" s="12"/>
      <c r="M255" s="6"/>
    </row>
    <row r="256" spans="1:13" s="8" customFormat="1" ht="45" customHeight="1" thickBot="1" x14ac:dyDescent="0.3">
      <c r="A256" s="3"/>
      <c r="B256" s="7"/>
      <c r="C256" s="4"/>
      <c r="D256" s="13"/>
      <c r="E256" s="7"/>
      <c r="F256" s="2"/>
      <c r="G256" s="2"/>
      <c r="H256" s="7"/>
      <c r="I256" s="4"/>
      <c r="J256" s="2"/>
      <c r="K256" s="2"/>
      <c r="L256" s="12"/>
      <c r="M256" s="6"/>
    </row>
    <row r="257" spans="1:13" s="8" customFormat="1" ht="45" customHeight="1" thickBot="1" x14ac:dyDescent="0.3">
      <c r="A257" s="3"/>
      <c r="B257" s="7"/>
      <c r="C257" s="4"/>
      <c r="D257" s="2"/>
      <c r="E257" s="7"/>
      <c r="F257" s="2"/>
      <c r="G257" s="2"/>
      <c r="H257" s="4"/>
      <c r="I257" s="4"/>
      <c r="J257" s="2"/>
      <c r="K257" s="2"/>
      <c r="L257" s="12"/>
      <c r="M257" s="6"/>
    </row>
    <row r="258" spans="1:13" s="8" customFormat="1" ht="45" customHeight="1" thickBot="1" x14ac:dyDescent="0.3">
      <c r="A258" s="3"/>
      <c r="B258" s="7"/>
      <c r="C258" s="4"/>
      <c r="D258" s="10"/>
      <c r="E258" s="7"/>
      <c r="F258" s="2"/>
      <c r="G258" s="2"/>
      <c r="H258" s="4"/>
      <c r="I258" s="4"/>
      <c r="J258" s="2"/>
      <c r="K258" s="2"/>
      <c r="L258" s="12"/>
      <c r="M258" s="6"/>
    </row>
    <row r="259" spans="1:13" ht="45" customHeight="1" thickBot="1" x14ac:dyDescent="0.3">
      <c r="A259" s="3"/>
      <c r="B259" s="7"/>
      <c r="C259" s="7"/>
      <c r="D259" s="2"/>
      <c r="E259" s="7"/>
      <c r="F259" s="7"/>
      <c r="G259" s="7"/>
      <c r="H259" s="7"/>
      <c r="I259" s="4"/>
      <c r="J259" s="4"/>
      <c r="K259" s="4"/>
      <c r="L259" s="11"/>
      <c r="M259" s="5"/>
    </row>
    <row r="260" spans="1:13" s="8" customFormat="1" ht="45" customHeight="1" thickBot="1" x14ac:dyDescent="0.3">
      <c r="A260" s="3"/>
      <c r="B260" s="7"/>
      <c r="C260" s="4"/>
      <c r="D260" s="2"/>
      <c r="E260" s="7"/>
      <c r="F260" s="2"/>
      <c r="G260" s="2"/>
      <c r="H260" s="7"/>
      <c r="I260" s="4"/>
      <c r="J260" s="2"/>
      <c r="K260" s="2"/>
      <c r="L260" s="12"/>
      <c r="M260" s="6"/>
    </row>
    <row r="261" spans="1:13" ht="45" customHeight="1" thickBot="1" x14ac:dyDescent="0.3">
      <c r="A261" s="3"/>
      <c r="B261" s="7"/>
      <c r="C261" s="4"/>
      <c r="D261" s="2"/>
      <c r="E261" s="7"/>
      <c r="F261" s="2"/>
      <c r="G261" s="2"/>
      <c r="H261" s="7"/>
      <c r="I261" s="4"/>
      <c r="J261" s="4"/>
      <c r="K261" s="4"/>
      <c r="L261" s="11"/>
      <c r="M261" s="5"/>
    </row>
    <row r="262" spans="1:13" ht="45" customHeight="1" thickBot="1" x14ac:dyDescent="0.3">
      <c r="A262" s="3"/>
      <c r="B262" s="7"/>
      <c r="C262" s="4"/>
      <c r="D262" s="2"/>
      <c r="E262" s="7"/>
      <c r="F262" s="2"/>
      <c r="G262" s="2"/>
      <c r="H262" s="7"/>
      <c r="I262" s="4"/>
      <c r="J262" s="4"/>
      <c r="K262" s="4"/>
      <c r="L262" s="11"/>
      <c r="M262" s="5"/>
    </row>
    <row r="263" spans="1:13" ht="45" customHeight="1" thickBot="1" x14ac:dyDescent="0.3">
      <c r="A263" s="3"/>
      <c r="B263" s="7"/>
      <c r="C263" s="4"/>
      <c r="D263" s="2"/>
      <c r="E263" s="7"/>
      <c r="F263" s="2"/>
      <c r="G263" s="2"/>
      <c r="H263" s="7"/>
      <c r="I263" s="4"/>
      <c r="J263" s="4"/>
      <c r="K263" s="4"/>
      <c r="L263" s="11"/>
      <c r="M263" s="5"/>
    </row>
    <row r="264" spans="1:13" ht="45" customHeight="1" thickBot="1" x14ac:dyDescent="0.3">
      <c r="A264" s="3"/>
      <c r="B264" s="7"/>
      <c r="C264" s="4"/>
      <c r="D264" s="2"/>
      <c r="E264" s="7"/>
      <c r="F264" s="2"/>
      <c r="G264" s="2"/>
      <c r="H264" s="7"/>
      <c r="I264" s="4"/>
      <c r="J264" s="4"/>
      <c r="K264" s="4"/>
      <c r="L264" s="11"/>
      <c r="M264" s="5"/>
    </row>
    <row r="265" spans="1:13" ht="45" customHeight="1" thickBot="1" x14ac:dyDescent="0.3">
      <c r="A265" s="3"/>
      <c r="B265" s="7"/>
      <c r="C265" s="4"/>
      <c r="D265" s="2"/>
      <c r="E265" s="7"/>
      <c r="F265" s="2"/>
      <c r="G265" s="2"/>
      <c r="H265" s="7"/>
      <c r="I265" s="4"/>
      <c r="J265" s="4"/>
      <c r="K265" s="4"/>
      <c r="L265" s="11"/>
      <c r="M265" s="5"/>
    </row>
    <row r="266" spans="1:13" ht="45" customHeight="1" thickBot="1" x14ac:dyDescent="0.3">
      <c r="A266" s="3"/>
      <c r="B266" s="7"/>
      <c r="C266" s="4"/>
      <c r="D266" s="2"/>
      <c r="E266" s="7"/>
      <c r="F266" s="2"/>
      <c r="G266" s="2"/>
      <c r="H266" s="7"/>
      <c r="I266" s="4"/>
      <c r="J266" s="4"/>
      <c r="K266" s="4"/>
      <c r="L266" s="11"/>
      <c r="M266" s="5"/>
    </row>
    <row r="267" spans="1:13" ht="45" customHeight="1" thickBot="1" x14ac:dyDescent="0.3">
      <c r="A267" s="3"/>
      <c r="B267" s="7"/>
      <c r="C267" s="4"/>
      <c r="D267" s="2"/>
      <c r="E267" s="7"/>
      <c r="F267" s="2"/>
      <c r="G267" s="2"/>
      <c r="H267" s="7"/>
      <c r="I267" s="4"/>
      <c r="J267" s="4"/>
      <c r="K267" s="4"/>
      <c r="L267" s="11"/>
      <c r="M267" s="5"/>
    </row>
    <row r="268" spans="1:13" s="8" customFormat="1" ht="45" customHeight="1" thickBot="1" x14ac:dyDescent="0.3">
      <c r="A268" s="3"/>
      <c r="B268" s="7"/>
      <c r="C268" s="4"/>
      <c r="D268" s="2"/>
      <c r="E268" s="7"/>
      <c r="F268" s="2"/>
      <c r="G268" s="2"/>
      <c r="H268" s="7"/>
      <c r="I268" s="4"/>
      <c r="J268" s="2"/>
      <c r="K268" s="2"/>
      <c r="L268" s="12"/>
      <c r="M268" s="27"/>
    </row>
    <row r="269" spans="1:13" s="8" customFormat="1" ht="45" customHeight="1" thickBot="1" x14ac:dyDescent="0.3">
      <c r="A269" s="3"/>
      <c r="B269" s="7"/>
      <c r="C269" s="4"/>
      <c r="D269" s="2"/>
      <c r="E269" s="7"/>
      <c r="F269" s="2"/>
      <c r="G269" s="2"/>
      <c r="H269" s="7"/>
      <c r="I269" s="4"/>
      <c r="J269" s="2"/>
      <c r="K269" s="2"/>
      <c r="L269" s="12"/>
      <c r="M269" s="27"/>
    </row>
    <row r="270" spans="1:13" s="8" customFormat="1" ht="45" customHeight="1" thickBot="1" x14ac:dyDescent="0.3">
      <c r="A270" s="3"/>
      <c r="B270" s="7"/>
      <c r="C270" s="4"/>
      <c r="D270" s="2"/>
      <c r="E270" s="7"/>
      <c r="F270" s="2"/>
      <c r="G270" s="2"/>
      <c r="H270" s="7"/>
      <c r="I270" s="4"/>
      <c r="J270" s="2"/>
      <c r="K270" s="2"/>
      <c r="L270" s="12"/>
      <c r="M270" s="27"/>
    </row>
    <row r="271" spans="1:13" s="8" customFormat="1" ht="45" customHeight="1" thickBot="1" x14ac:dyDescent="0.3">
      <c r="A271" s="3"/>
      <c r="B271" s="7"/>
      <c r="C271" s="4"/>
      <c r="D271" s="2"/>
      <c r="E271" s="7"/>
      <c r="F271" s="2"/>
      <c r="G271" s="2"/>
      <c r="H271" s="7"/>
      <c r="I271" s="4"/>
      <c r="J271" s="2"/>
      <c r="K271" s="2"/>
      <c r="L271" s="12"/>
      <c r="M271" s="27"/>
    </row>
    <row r="272" spans="1:13" s="8" customFormat="1" ht="45" customHeight="1" thickBot="1" x14ac:dyDescent="0.3">
      <c r="A272" s="3"/>
      <c r="B272" s="7"/>
      <c r="C272" s="4"/>
      <c r="D272" s="2"/>
      <c r="E272" s="7"/>
      <c r="F272" s="2"/>
      <c r="G272" s="2"/>
      <c r="H272" s="7"/>
      <c r="I272" s="4"/>
      <c r="J272" s="2"/>
      <c r="K272" s="2"/>
      <c r="L272" s="12"/>
      <c r="M272" s="27"/>
    </row>
    <row r="273" spans="1:13" s="8" customFormat="1" ht="45" customHeight="1" thickBot="1" x14ac:dyDescent="0.3">
      <c r="A273" s="3"/>
      <c r="B273" s="7"/>
      <c r="C273" s="4"/>
      <c r="D273" s="2"/>
      <c r="E273" s="7"/>
      <c r="F273" s="2"/>
      <c r="G273" s="2"/>
      <c r="H273" s="7"/>
      <c r="I273" s="4"/>
      <c r="J273" s="2"/>
      <c r="K273" s="2"/>
      <c r="L273" s="12"/>
      <c r="M273" s="27"/>
    </row>
    <row r="274" spans="1:13" s="8" customFormat="1" ht="45" customHeight="1" thickBot="1" x14ac:dyDescent="0.3">
      <c r="A274" s="3"/>
      <c r="B274" s="7"/>
      <c r="C274" s="4"/>
      <c r="D274" s="2"/>
      <c r="E274" s="7"/>
      <c r="F274" s="2"/>
      <c r="G274" s="2"/>
      <c r="H274" s="7"/>
      <c r="I274" s="4"/>
      <c r="J274" s="2"/>
      <c r="K274" s="2"/>
      <c r="L274" s="12"/>
      <c r="M274" s="27"/>
    </row>
    <row r="275" spans="1:13" s="8" customFormat="1" ht="45" customHeight="1" thickBot="1" x14ac:dyDescent="0.3">
      <c r="A275" s="3"/>
      <c r="B275" s="7"/>
      <c r="C275" s="4"/>
      <c r="D275" s="2"/>
      <c r="E275" s="7"/>
      <c r="F275" s="2"/>
      <c r="G275" s="2"/>
      <c r="H275" s="7"/>
      <c r="I275" s="4"/>
      <c r="J275" s="2"/>
      <c r="K275" s="2"/>
      <c r="L275" s="12"/>
      <c r="M275" s="27"/>
    </row>
    <row r="276" spans="1:13" s="8" customFormat="1" ht="45" customHeight="1" thickBot="1" x14ac:dyDescent="0.3">
      <c r="A276" s="3"/>
      <c r="B276" s="7"/>
      <c r="C276" s="2"/>
      <c r="D276" s="15"/>
      <c r="E276" s="7"/>
      <c r="F276" s="2"/>
      <c r="G276" s="2"/>
      <c r="H276" s="2"/>
      <c r="I276" s="4"/>
      <c r="J276" s="2"/>
      <c r="K276" s="2"/>
      <c r="L276" s="12"/>
      <c r="M276" s="6"/>
    </row>
    <row r="277" spans="1:13" ht="45" customHeight="1" thickBot="1" x14ac:dyDescent="0.3">
      <c r="A277" s="3"/>
      <c r="B277" s="7"/>
      <c r="C277" s="4"/>
      <c r="D277" s="2"/>
      <c r="E277" s="7"/>
      <c r="F277" s="2"/>
      <c r="G277" s="2"/>
      <c r="H277" s="7"/>
      <c r="I277" s="4"/>
      <c r="J277" s="4"/>
      <c r="K277" s="4"/>
      <c r="L277" s="11"/>
      <c r="M277" s="44"/>
    </row>
    <row r="278" spans="1:13" ht="45" customHeight="1" thickBot="1" x14ac:dyDescent="0.3">
      <c r="A278" s="3"/>
      <c r="B278" s="7"/>
      <c r="C278" s="4"/>
      <c r="D278" s="2"/>
      <c r="E278" s="7"/>
      <c r="F278" s="2"/>
      <c r="G278" s="2"/>
      <c r="H278" s="7"/>
      <c r="I278" s="4"/>
      <c r="J278" s="4"/>
      <c r="K278" s="4"/>
      <c r="L278" s="11"/>
      <c r="M278" s="44"/>
    </row>
    <row r="279" spans="1:13" s="8" customFormat="1" ht="45" customHeight="1" thickBot="1" x14ac:dyDescent="0.3">
      <c r="A279" s="3"/>
      <c r="B279" s="7"/>
      <c r="C279" s="2"/>
      <c r="D279" s="10"/>
      <c r="E279" s="7"/>
      <c r="F279" s="2"/>
      <c r="G279" s="2"/>
      <c r="H279" s="7"/>
      <c r="I279" s="4"/>
      <c r="J279" s="2"/>
      <c r="K279" s="2"/>
      <c r="L279" s="12"/>
      <c r="M279" s="6"/>
    </row>
    <row r="280" spans="1:13" s="8" customFormat="1" ht="45" customHeight="1" thickBot="1" x14ac:dyDescent="0.3">
      <c r="A280" s="3"/>
      <c r="B280" s="7"/>
      <c r="C280" s="2"/>
      <c r="D280" s="10"/>
      <c r="E280" s="7"/>
      <c r="F280" s="2"/>
      <c r="G280" s="2"/>
      <c r="H280" s="7"/>
      <c r="I280" s="4"/>
      <c r="J280" s="2"/>
      <c r="K280" s="2"/>
      <c r="L280" s="12"/>
      <c r="M280" s="27"/>
    </row>
    <row r="281" spans="1:13" s="8" customFormat="1" ht="45" customHeight="1" thickBot="1" x14ac:dyDescent="0.3">
      <c r="A281" s="3"/>
      <c r="B281" s="7"/>
      <c r="C281" s="2"/>
      <c r="D281" s="10"/>
      <c r="E281" s="7"/>
      <c r="F281" s="2"/>
      <c r="G281" s="2"/>
      <c r="H281" s="7"/>
      <c r="I281" s="4"/>
      <c r="J281" s="2"/>
      <c r="K281" s="2"/>
      <c r="L281" s="12"/>
      <c r="M281" s="6"/>
    </row>
    <row r="282" spans="1:13" s="8" customFormat="1" ht="45" customHeight="1" thickBot="1" x14ac:dyDescent="0.3">
      <c r="A282" s="3"/>
      <c r="B282" s="7"/>
      <c r="C282" s="4"/>
      <c r="D282" s="2"/>
      <c r="E282" s="7"/>
      <c r="F282" s="2"/>
      <c r="G282" s="2"/>
      <c r="H282" s="7"/>
      <c r="I282" s="4"/>
      <c r="J282" s="2"/>
      <c r="K282" s="2"/>
      <c r="L282" s="12"/>
      <c r="M282" s="6"/>
    </row>
    <row r="283" spans="1:13" s="8" customFormat="1" ht="45" customHeight="1" thickBot="1" x14ac:dyDescent="0.3">
      <c r="A283" s="3"/>
      <c r="B283" s="7"/>
      <c r="C283" s="4"/>
      <c r="D283" s="13"/>
      <c r="E283" s="7"/>
      <c r="F283" s="2"/>
      <c r="G283" s="2"/>
      <c r="H283" s="7"/>
      <c r="I283" s="4"/>
      <c r="J283" s="2"/>
      <c r="K283" s="2"/>
      <c r="L283" s="12"/>
      <c r="M283" s="6"/>
    </row>
    <row r="284" spans="1:13" ht="45" customHeight="1" thickBot="1" x14ac:dyDescent="0.3">
      <c r="A284" s="3"/>
      <c r="B284" s="7"/>
      <c r="C284" s="4"/>
      <c r="D284" s="2"/>
      <c r="E284" s="7"/>
      <c r="F284" s="2"/>
      <c r="G284" s="2"/>
      <c r="H284" s="7"/>
      <c r="I284" s="4"/>
      <c r="J284" s="4"/>
      <c r="K284" s="4"/>
      <c r="L284" s="11"/>
      <c r="M284" s="44"/>
    </row>
    <row r="285" spans="1:13" s="8" customFormat="1" ht="45" customHeight="1" thickBot="1" x14ac:dyDescent="0.3">
      <c r="A285" s="3"/>
      <c r="B285" s="7"/>
      <c r="C285" s="4"/>
      <c r="D285" s="13"/>
      <c r="E285" s="7"/>
      <c r="F285" s="2"/>
      <c r="G285" s="2"/>
      <c r="H285" s="7"/>
      <c r="I285" s="4"/>
      <c r="J285" s="2"/>
      <c r="K285" s="2"/>
      <c r="L285" s="12"/>
      <c r="M285" s="6"/>
    </row>
    <row r="286" spans="1:13" s="8" customFormat="1" ht="45" customHeight="1" thickBot="1" x14ac:dyDescent="0.3">
      <c r="A286" s="3"/>
      <c r="B286" s="7"/>
      <c r="C286" s="4"/>
      <c r="D286" s="13"/>
      <c r="E286" s="7"/>
      <c r="F286" s="2"/>
      <c r="G286" s="2"/>
      <c r="H286" s="7"/>
      <c r="I286" s="4"/>
      <c r="J286" s="2"/>
      <c r="K286" s="2"/>
      <c r="L286" s="12"/>
      <c r="M286" s="6"/>
    </row>
    <row r="287" spans="1:13" s="8" customFormat="1" ht="45" customHeight="1" thickBot="1" x14ac:dyDescent="0.3">
      <c r="A287" s="3"/>
      <c r="B287" s="7"/>
      <c r="C287" s="4"/>
      <c r="D287" s="10"/>
      <c r="E287" s="7"/>
      <c r="F287" s="2"/>
      <c r="G287" s="2"/>
      <c r="H287" s="7"/>
      <c r="I287" s="4"/>
      <c r="J287" s="2"/>
      <c r="K287" s="2"/>
      <c r="L287" s="12"/>
      <c r="M287" s="6"/>
    </row>
    <row r="288" spans="1:13" s="8" customFormat="1" ht="45" customHeight="1" thickBot="1" x14ac:dyDescent="0.3">
      <c r="A288" s="3"/>
      <c r="B288" s="7"/>
      <c r="C288" s="4"/>
      <c r="D288" s="13"/>
      <c r="E288" s="7"/>
      <c r="F288" s="2"/>
      <c r="G288" s="2"/>
      <c r="H288" s="7"/>
      <c r="I288" s="4"/>
      <c r="J288" s="2"/>
      <c r="K288" s="2"/>
      <c r="L288" s="12"/>
      <c r="M288" s="6"/>
    </row>
    <row r="289" spans="1:13" s="8" customFormat="1" ht="45" customHeight="1" thickBot="1" x14ac:dyDescent="0.3">
      <c r="A289" s="3"/>
      <c r="B289" s="7"/>
      <c r="C289" s="4"/>
      <c r="D289" s="13"/>
      <c r="E289" s="7"/>
      <c r="F289" s="2"/>
      <c r="G289" s="2"/>
      <c r="H289" s="7"/>
      <c r="I289" s="4"/>
      <c r="J289" s="2"/>
      <c r="K289" s="2"/>
      <c r="L289" s="12"/>
      <c r="M289" s="6"/>
    </row>
    <row r="290" spans="1:13" s="8" customFormat="1" ht="45" customHeight="1" thickBot="1" x14ac:dyDescent="0.3">
      <c r="A290" s="3"/>
      <c r="B290" s="7"/>
      <c r="C290" s="4"/>
      <c r="D290" s="13"/>
      <c r="E290" s="7"/>
      <c r="F290" s="2"/>
      <c r="G290" s="2"/>
      <c r="H290" s="7"/>
      <c r="I290" s="4"/>
      <c r="J290" s="2"/>
      <c r="K290" s="2"/>
      <c r="L290" s="12"/>
      <c r="M290" s="6"/>
    </row>
    <row r="291" spans="1:13" s="8" customFormat="1" ht="45" customHeight="1" thickBot="1" x14ac:dyDescent="0.3">
      <c r="A291" s="3"/>
      <c r="B291" s="7"/>
      <c r="C291" s="4"/>
      <c r="D291" s="2"/>
      <c r="E291" s="7"/>
      <c r="F291" s="2"/>
      <c r="G291" s="2"/>
      <c r="H291" s="7"/>
      <c r="I291" s="4"/>
      <c r="J291" s="2"/>
      <c r="K291" s="2"/>
      <c r="L291" s="12"/>
      <c r="M291" s="27"/>
    </row>
    <row r="292" spans="1:13" s="8" customFormat="1" ht="45" customHeight="1" thickBot="1" x14ac:dyDescent="0.3">
      <c r="A292" s="3"/>
      <c r="B292" s="7"/>
      <c r="C292" s="2"/>
      <c r="D292" s="10"/>
      <c r="E292" s="7"/>
      <c r="F292" s="2"/>
      <c r="G292" s="2"/>
      <c r="H292" s="7"/>
      <c r="I292" s="4"/>
      <c r="J292" s="2"/>
      <c r="K292" s="2"/>
      <c r="L292" s="12"/>
      <c r="M292" s="6"/>
    </row>
    <row r="293" spans="1:13" s="8" customFormat="1" ht="45" customHeight="1" thickBot="1" x14ac:dyDescent="0.3">
      <c r="A293" s="3"/>
      <c r="B293" s="7"/>
      <c r="C293" s="2"/>
      <c r="D293" s="10"/>
      <c r="E293" s="7"/>
      <c r="F293" s="2"/>
      <c r="G293" s="2"/>
      <c r="H293" s="7"/>
      <c r="I293" s="4"/>
      <c r="J293" s="2"/>
      <c r="K293" s="2"/>
      <c r="L293" s="12"/>
      <c r="M293" s="6"/>
    </row>
    <row r="294" spans="1:13" s="8" customFormat="1" ht="45" customHeight="1" thickBot="1" x14ac:dyDescent="0.3">
      <c r="A294" s="3"/>
      <c r="B294" s="7"/>
      <c r="C294" s="2"/>
      <c r="D294" s="10"/>
      <c r="E294" s="7"/>
      <c r="F294" s="2"/>
      <c r="G294" s="2"/>
      <c r="H294" s="7"/>
      <c r="I294" s="4"/>
      <c r="J294" s="2"/>
      <c r="K294" s="2"/>
      <c r="L294" s="12"/>
      <c r="M294" s="6"/>
    </row>
    <row r="295" spans="1:13" s="8" customFormat="1" ht="45" customHeight="1" thickBot="1" x14ac:dyDescent="0.3">
      <c r="A295" s="3"/>
      <c r="B295" s="7"/>
      <c r="C295" s="2"/>
      <c r="D295" s="10"/>
      <c r="E295" s="7"/>
      <c r="F295" s="2"/>
      <c r="G295" s="2"/>
      <c r="H295" s="7"/>
      <c r="I295" s="4"/>
      <c r="J295" s="2"/>
      <c r="K295" s="2"/>
      <c r="L295" s="12"/>
      <c r="M295" s="6"/>
    </row>
    <row r="296" spans="1:13" s="8" customFormat="1" ht="45" customHeight="1" thickBot="1" x14ac:dyDescent="0.3">
      <c r="A296" s="3"/>
      <c r="B296" s="7"/>
      <c r="C296" s="2"/>
      <c r="D296" s="10"/>
      <c r="E296" s="7"/>
      <c r="F296" s="2"/>
      <c r="G296" s="2"/>
      <c r="H296" s="7"/>
      <c r="I296" s="4"/>
      <c r="J296" s="2"/>
      <c r="K296" s="2"/>
      <c r="L296" s="12"/>
      <c r="M296" s="6"/>
    </row>
    <row r="297" spans="1:13" s="8" customFormat="1" ht="45" customHeight="1" thickBot="1" x14ac:dyDescent="0.3">
      <c r="A297" s="3"/>
      <c r="B297" s="7"/>
      <c r="C297" s="2"/>
      <c r="D297" s="10"/>
      <c r="E297" s="7"/>
      <c r="F297" s="2"/>
      <c r="G297" s="2"/>
      <c r="H297" s="7"/>
      <c r="I297" s="4"/>
      <c r="J297" s="2"/>
      <c r="K297" s="2"/>
      <c r="L297" s="12"/>
      <c r="M297" s="6"/>
    </row>
    <row r="298" spans="1:13" s="8" customFormat="1" ht="45" customHeight="1" thickBot="1" x14ac:dyDescent="0.3">
      <c r="A298" s="3"/>
      <c r="B298" s="7"/>
      <c r="C298" s="2"/>
      <c r="D298" s="10"/>
      <c r="E298" s="7"/>
      <c r="F298" s="2"/>
      <c r="G298" s="2"/>
      <c r="H298" s="7"/>
      <c r="I298" s="4"/>
      <c r="J298" s="2"/>
      <c r="K298" s="2"/>
      <c r="L298" s="12"/>
      <c r="M298" s="6"/>
    </row>
    <row r="299" spans="1:13" s="8" customFormat="1" ht="45" customHeight="1" thickBot="1" x14ac:dyDescent="0.3">
      <c r="A299" s="3"/>
      <c r="B299" s="7"/>
      <c r="C299" s="2"/>
      <c r="D299" s="10"/>
      <c r="E299" s="7"/>
      <c r="F299" s="2"/>
      <c r="G299" s="2"/>
      <c r="H299" s="7"/>
      <c r="I299" s="4"/>
      <c r="J299" s="2"/>
      <c r="K299" s="2"/>
      <c r="L299" s="12"/>
      <c r="M299" s="6"/>
    </row>
    <row r="300" spans="1:13" s="8" customFormat="1" ht="45" customHeight="1" thickBot="1" x14ac:dyDescent="0.3">
      <c r="A300" s="3"/>
      <c r="B300" s="7"/>
      <c r="C300" s="2"/>
      <c r="D300" s="10"/>
      <c r="E300" s="7"/>
      <c r="F300" s="2"/>
      <c r="G300" s="2"/>
      <c r="H300" s="7"/>
      <c r="I300" s="4"/>
      <c r="J300" s="2"/>
      <c r="K300" s="2"/>
      <c r="L300" s="12"/>
      <c r="M300" s="6"/>
    </row>
    <row r="301" spans="1:13" s="8" customFormat="1" ht="45" customHeight="1" thickBot="1" x14ac:dyDescent="0.3">
      <c r="A301" s="3"/>
      <c r="B301" s="7"/>
      <c r="C301" s="2"/>
      <c r="D301" s="10"/>
      <c r="E301" s="7"/>
      <c r="F301" s="2"/>
      <c r="G301" s="2"/>
      <c r="H301" s="7"/>
      <c r="I301" s="4"/>
      <c r="J301" s="2"/>
      <c r="K301" s="2"/>
      <c r="L301" s="12"/>
      <c r="M301" s="6"/>
    </row>
    <row r="302" spans="1:13" s="8" customFormat="1" ht="45" customHeight="1" thickBot="1" x14ac:dyDescent="0.3">
      <c r="A302" s="3"/>
      <c r="B302" s="7"/>
      <c r="C302" s="2"/>
      <c r="D302" s="10"/>
      <c r="E302" s="7"/>
      <c r="F302" s="2"/>
      <c r="G302" s="2"/>
      <c r="H302" s="7"/>
      <c r="I302" s="4"/>
      <c r="J302" s="2"/>
      <c r="K302" s="2"/>
      <c r="L302" s="12"/>
      <c r="M302" s="6"/>
    </row>
    <row r="303" spans="1:13" s="8" customFormat="1" ht="45" customHeight="1" thickBot="1" x14ac:dyDescent="0.3">
      <c r="A303" s="3"/>
      <c r="B303" s="7"/>
      <c r="C303" s="2"/>
      <c r="D303" s="10"/>
      <c r="E303" s="7"/>
      <c r="F303" s="2"/>
      <c r="G303" s="2"/>
      <c r="H303" s="7"/>
      <c r="I303" s="4"/>
      <c r="J303" s="2"/>
      <c r="K303" s="2"/>
      <c r="L303" s="12"/>
      <c r="M303" s="6"/>
    </row>
    <row r="304" spans="1:13" s="8" customFormat="1" ht="45" customHeight="1" thickBot="1" x14ac:dyDescent="0.3">
      <c r="A304" s="3"/>
      <c r="B304" s="7"/>
      <c r="C304" s="2"/>
      <c r="D304" s="10"/>
      <c r="E304" s="7"/>
      <c r="F304" s="2"/>
      <c r="G304" s="2"/>
      <c r="H304" s="7"/>
      <c r="I304" s="4"/>
      <c r="J304" s="2"/>
      <c r="K304" s="2"/>
      <c r="L304" s="12"/>
      <c r="M304" s="6"/>
    </row>
    <row r="305" spans="1:13" s="8" customFormat="1" ht="45" customHeight="1" thickBot="1" x14ac:dyDescent="0.3">
      <c r="A305" s="3"/>
      <c r="B305" s="7"/>
      <c r="C305" s="2"/>
      <c r="D305" s="10"/>
      <c r="E305" s="7"/>
      <c r="F305" s="2"/>
      <c r="G305" s="2"/>
      <c r="H305" s="7"/>
      <c r="I305" s="4"/>
      <c r="J305" s="2"/>
      <c r="K305" s="2"/>
      <c r="L305" s="12"/>
      <c r="M305" s="6"/>
    </row>
    <row r="306" spans="1:13" s="8" customFormat="1" ht="45" customHeight="1" thickBot="1" x14ac:dyDescent="0.3">
      <c r="A306" s="3"/>
      <c r="B306" s="7"/>
      <c r="C306" s="2"/>
      <c r="D306" s="10"/>
      <c r="E306" s="7"/>
      <c r="F306" s="2"/>
      <c r="G306" s="2"/>
      <c r="H306" s="7"/>
      <c r="I306" s="4"/>
      <c r="J306" s="2"/>
      <c r="K306" s="2"/>
      <c r="L306" s="12"/>
      <c r="M306" s="6"/>
    </row>
    <row r="307" spans="1:13" s="8" customFormat="1" ht="45" customHeight="1" thickBot="1" x14ac:dyDescent="0.3">
      <c r="A307" s="3"/>
      <c r="B307" s="7"/>
      <c r="C307" s="2"/>
      <c r="D307" s="10"/>
      <c r="E307" s="7"/>
      <c r="F307" s="2"/>
      <c r="G307" s="2"/>
      <c r="H307" s="7"/>
      <c r="I307" s="4"/>
      <c r="J307" s="2"/>
      <c r="K307" s="2"/>
      <c r="L307" s="12"/>
      <c r="M307" s="6"/>
    </row>
    <row r="308" spans="1:13" s="8" customFormat="1" ht="45" customHeight="1" thickBot="1" x14ac:dyDescent="0.3">
      <c r="A308" s="3"/>
      <c r="B308" s="7"/>
      <c r="C308" s="2"/>
      <c r="D308" s="10"/>
      <c r="E308" s="7"/>
      <c r="F308" s="2"/>
      <c r="G308" s="2"/>
      <c r="H308" s="7"/>
      <c r="I308" s="4"/>
      <c r="J308" s="2"/>
      <c r="K308" s="2"/>
      <c r="L308" s="12"/>
      <c r="M308" s="6"/>
    </row>
    <row r="309" spans="1:13" s="8" customFormat="1" ht="45" customHeight="1" thickBot="1" x14ac:dyDescent="0.3">
      <c r="A309" s="3"/>
      <c r="B309" s="7"/>
      <c r="C309" s="2"/>
      <c r="D309" s="10"/>
      <c r="E309" s="7"/>
      <c r="F309" s="2"/>
      <c r="G309" s="2"/>
      <c r="H309" s="7"/>
      <c r="I309" s="4"/>
      <c r="J309" s="2"/>
      <c r="K309" s="2"/>
      <c r="L309" s="12"/>
      <c r="M309" s="6"/>
    </row>
    <row r="310" spans="1:13" s="8" customFormat="1" ht="45" customHeight="1" thickBot="1" x14ac:dyDescent="0.3">
      <c r="A310" s="3"/>
      <c r="B310" s="7"/>
      <c r="C310" s="2"/>
      <c r="D310" s="10"/>
      <c r="E310" s="7"/>
      <c r="F310" s="2"/>
      <c r="G310" s="2"/>
      <c r="H310" s="7"/>
      <c r="I310" s="4"/>
      <c r="J310" s="2"/>
      <c r="K310" s="2"/>
      <c r="L310" s="12"/>
      <c r="M310" s="6"/>
    </row>
    <row r="311" spans="1:13" s="8" customFormat="1" ht="45" customHeight="1" thickBot="1" x14ac:dyDescent="0.3">
      <c r="A311" s="3"/>
      <c r="B311" s="7"/>
      <c r="C311" s="2"/>
      <c r="D311" s="10"/>
      <c r="E311" s="7"/>
      <c r="F311" s="2"/>
      <c r="G311" s="2"/>
      <c r="H311" s="7"/>
      <c r="I311" s="4"/>
      <c r="J311" s="2"/>
      <c r="K311" s="2"/>
      <c r="L311" s="12"/>
      <c r="M311" s="6"/>
    </row>
    <row r="312" spans="1:13" s="8" customFormat="1" ht="45" customHeight="1" thickBot="1" x14ac:dyDescent="0.3">
      <c r="A312" s="3"/>
      <c r="B312" s="7"/>
      <c r="C312" s="2"/>
      <c r="D312" s="10"/>
      <c r="E312" s="7"/>
      <c r="F312" s="2"/>
      <c r="G312" s="2"/>
      <c r="H312" s="7"/>
      <c r="I312" s="4"/>
      <c r="J312" s="2"/>
      <c r="K312" s="2"/>
      <c r="L312" s="12"/>
      <c r="M312" s="6"/>
    </row>
    <row r="313" spans="1:13" s="8" customFormat="1" ht="45" customHeight="1" thickBot="1" x14ac:dyDescent="0.3">
      <c r="A313" s="3"/>
      <c r="B313" s="7"/>
      <c r="C313" s="2"/>
      <c r="D313" s="10"/>
      <c r="E313" s="7"/>
      <c r="F313" s="2"/>
      <c r="G313" s="2"/>
      <c r="H313" s="7"/>
      <c r="I313" s="4"/>
      <c r="J313" s="2"/>
      <c r="K313" s="2"/>
      <c r="L313" s="12"/>
      <c r="M313" s="6"/>
    </row>
    <row r="314" spans="1:13" ht="45" customHeight="1" thickBot="1" x14ac:dyDescent="0.3">
      <c r="A314" s="3"/>
      <c r="B314" s="7"/>
      <c r="C314" s="2"/>
      <c r="D314" s="10"/>
      <c r="E314" s="7"/>
      <c r="F314" s="2"/>
      <c r="G314" s="2"/>
      <c r="H314" s="7"/>
      <c r="I314" s="4"/>
      <c r="J314" s="2"/>
      <c r="K314" s="4"/>
      <c r="L314" s="11"/>
      <c r="M314" s="6"/>
    </row>
    <row r="315" spans="1:13" ht="45" customHeight="1" thickBot="1" x14ac:dyDescent="0.3">
      <c r="A315" s="3"/>
      <c r="B315" s="7"/>
      <c r="C315" s="2"/>
      <c r="D315" s="10"/>
      <c r="E315" s="7"/>
      <c r="F315" s="2"/>
      <c r="G315" s="2"/>
      <c r="H315" s="7"/>
      <c r="I315" s="4"/>
      <c r="J315" s="2"/>
      <c r="K315" s="4"/>
      <c r="L315" s="11"/>
      <c r="M315" s="6"/>
    </row>
    <row r="316" spans="1:13" ht="45" customHeight="1" thickBot="1" x14ac:dyDescent="0.3">
      <c r="A316" s="3"/>
      <c r="B316" s="7"/>
      <c r="C316" s="2"/>
      <c r="D316" s="10"/>
      <c r="E316" s="7"/>
      <c r="F316" s="2"/>
      <c r="G316" s="2"/>
      <c r="H316" s="7"/>
      <c r="I316" s="4"/>
      <c r="J316" s="2"/>
      <c r="K316" s="4"/>
      <c r="L316" s="11"/>
      <c r="M316" s="6"/>
    </row>
    <row r="317" spans="1:13" ht="45" customHeight="1" thickBot="1" x14ac:dyDescent="0.3">
      <c r="A317" s="3"/>
      <c r="B317" s="7"/>
      <c r="C317" s="2"/>
      <c r="D317" s="10"/>
      <c r="E317" s="7"/>
      <c r="F317" s="2"/>
      <c r="G317" s="2"/>
      <c r="H317" s="7"/>
      <c r="I317" s="4"/>
      <c r="J317" s="2"/>
      <c r="K317" s="4"/>
      <c r="L317" s="11"/>
      <c r="M317" s="6"/>
    </row>
    <row r="318" spans="1:13" ht="45" customHeight="1" thickBot="1" x14ac:dyDescent="0.3">
      <c r="A318" s="3"/>
      <c r="B318" s="7"/>
      <c r="C318" s="2"/>
      <c r="D318" s="10"/>
      <c r="E318" s="7"/>
      <c r="F318" s="2"/>
      <c r="G318" s="2"/>
      <c r="H318" s="7"/>
      <c r="I318" s="4"/>
      <c r="J318" s="2"/>
      <c r="K318" s="4"/>
      <c r="L318" s="11"/>
      <c r="M318" s="6"/>
    </row>
    <row r="319" spans="1:13" ht="45" customHeight="1" thickBot="1" x14ac:dyDescent="0.3">
      <c r="A319" s="3"/>
      <c r="B319" s="7"/>
      <c r="C319" s="2"/>
      <c r="D319" s="10"/>
      <c r="E319" s="7"/>
      <c r="F319" s="2"/>
      <c r="G319" s="2"/>
      <c r="H319" s="7"/>
      <c r="I319" s="4"/>
      <c r="J319" s="2"/>
      <c r="K319" s="4"/>
      <c r="L319" s="11"/>
      <c r="M319" s="6"/>
    </row>
    <row r="320" spans="1:13" ht="45" customHeight="1" thickBot="1" x14ac:dyDescent="0.3">
      <c r="A320" s="3"/>
      <c r="B320" s="7"/>
      <c r="C320" s="2"/>
      <c r="D320" s="10"/>
      <c r="E320" s="7"/>
      <c r="F320" s="2"/>
      <c r="G320" s="2"/>
      <c r="H320" s="7"/>
      <c r="I320" s="4"/>
      <c r="J320" s="2"/>
      <c r="K320" s="4"/>
      <c r="L320" s="11"/>
      <c r="M320" s="6"/>
    </row>
    <row r="321" spans="1:13" ht="45" customHeight="1" thickBot="1" x14ac:dyDescent="0.3">
      <c r="A321" s="3"/>
      <c r="B321" s="7"/>
      <c r="C321" s="2"/>
      <c r="D321" s="10"/>
      <c r="E321" s="7"/>
      <c r="F321" s="2"/>
      <c r="G321" s="2"/>
      <c r="H321" s="7"/>
      <c r="I321" s="4"/>
      <c r="J321" s="2"/>
      <c r="K321" s="4"/>
      <c r="L321" s="11"/>
      <c r="M321" s="6"/>
    </row>
    <row r="322" spans="1:13" ht="45" customHeight="1" thickBot="1" x14ac:dyDescent="0.3">
      <c r="A322" s="3"/>
      <c r="B322" s="7"/>
      <c r="C322" s="2"/>
      <c r="D322" s="10"/>
      <c r="E322" s="7"/>
      <c r="F322" s="2"/>
      <c r="G322" s="2"/>
      <c r="H322" s="7"/>
      <c r="I322" s="4"/>
      <c r="J322" s="2"/>
      <c r="K322" s="4"/>
      <c r="L322" s="11"/>
      <c r="M322" s="6"/>
    </row>
    <row r="323" spans="1:13" ht="45" customHeight="1" thickBot="1" x14ac:dyDescent="0.3">
      <c r="A323" s="3"/>
      <c r="B323" s="7"/>
      <c r="C323" s="2"/>
      <c r="D323" s="10"/>
      <c r="E323" s="7"/>
      <c r="F323" s="2"/>
      <c r="G323" s="2"/>
      <c r="H323" s="7"/>
      <c r="I323" s="4"/>
      <c r="J323" s="2"/>
      <c r="K323" s="4"/>
      <c r="L323" s="11"/>
      <c r="M323" s="6"/>
    </row>
    <row r="324" spans="1:13" ht="45" customHeight="1" thickBot="1" x14ac:dyDescent="0.3">
      <c r="A324" s="3"/>
      <c r="B324" s="7"/>
      <c r="C324" s="2"/>
      <c r="D324" s="10"/>
      <c r="E324" s="7"/>
      <c r="F324" s="2"/>
      <c r="G324" s="2"/>
      <c r="H324" s="7"/>
      <c r="I324" s="4"/>
      <c r="J324" s="2"/>
      <c r="K324" s="4"/>
      <c r="L324" s="11"/>
      <c r="M324" s="6"/>
    </row>
    <row r="325" spans="1:13" ht="45" customHeight="1" thickBot="1" x14ac:dyDescent="0.3">
      <c r="A325" s="3"/>
      <c r="B325" s="7"/>
      <c r="C325" s="2"/>
      <c r="D325" s="10"/>
      <c r="E325" s="7"/>
      <c r="F325" s="2"/>
      <c r="G325" s="2"/>
      <c r="H325" s="7"/>
      <c r="I325" s="4"/>
      <c r="J325" s="2"/>
      <c r="K325" s="4"/>
      <c r="L325" s="11"/>
      <c r="M325" s="6"/>
    </row>
    <row r="326" spans="1:13" ht="45" customHeight="1" thickBot="1" x14ac:dyDescent="0.3">
      <c r="A326" s="3"/>
      <c r="B326" s="7"/>
      <c r="C326" s="2"/>
      <c r="D326" s="2"/>
      <c r="E326" s="7"/>
      <c r="F326" s="2"/>
      <c r="G326" s="2"/>
      <c r="H326" s="7"/>
      <c r="I326" s="4"/>
      <c r="J326" s="2"/>
      <c r="K326" s="4"/>
      <c r="L326" s="11"/>
      <c r="M326" s="6"/>
    </row>
    <row r="327" spans="1:13" ht="45" customHeight="1" thickBot="1" x14ac:dyDescent="0.3">
      <c r="A327" s="3"/>
      <c r="B327" s="7"/>
      <c r="C327" s="2"/>
      <c r="D327" s="2"/>
      <c r="E327" s="7"/>
      <c r="F327" s="2"/>
      <c r="G327" s="2"/>
      <c r="H327" s="7"/>
      <c r="I327" s="4"/>
      <c r="J327" s="2"/>
      <c r="K327" s="4"/>
      <c r="L327" s="11"/>
      <c r="M327" s="6"/>
    </row>
    <row r="328" spans="1:13" ht="45" customHeight="1" thickBot="1" x14ac:dyDescent="0.3">
      <c r="A328" s="3"/>
      <c r="B328" s="7"/>
      <c r="C328" s="7"/>
      <c r="D328" s="14"/>
      <c r="E328" s="7"/>
      <c r="F328" s="2"/>
      <c r="G328" s="2"/>
      <c r="H328" s="7"/>
      <c r="I328" s="4"/>
      <c r="J328" s="4"/>
      <c r="K328" s="4"/>
      <c r="L328" s="11"/>
      <c r="M328" s="5"/>
    </row>
    <row r="329" spans="1:13" ht="45" customHeight="1" thickBot="1" x14ac:dyDescent="0.3">
      <c r="A329" s="3"/>
      <c r="B329" s="7"/>
      <c r="C329" s="7"/>
      <c r="D329" s="14"/>
      <c r="E329" s="7"/>
      <c r="F329" s="2"/>
      <c r="G329" s="2"/>
      <c r="H329" s="7"/>
      <c r="I329" s="4"/>
      <c r="J329" s="4"/>
      <c r="K329" s="4"/>
      <c r="L329" s="11"/>
      <c r="M329" s="5"/>
    </row>
    <row r="330" spans="1:13" ht="45" customHeight="1" thickBot="1" x14ac:dyDescent="0.3">
      <c r="A330" s="3"/>
      <c r="B330" s="7"/>
      <c r="C330" s="2"/>
      <c r="D330" s="14"/>
      <c r="E330" s="7"/>
      <c r="F330" s="2"/>
      <c r="G330" s="2"/>
      <c r="H330" s="7"/>
      <c r="I330" s="4"/>
      <c r="J330" s="4"/>
      <c r="K330" s="4"/>
      <c r="L330" s="11"/>
      <c r="M330" s="5"/>
    </row>
    <row r="331" spans="1:13" s="8" customFormat="1" ht="45" customHeight="1" thickBot="1" x14ac:dyDescent="0.3">
      <c r="A331" s="3"/>
      <c r="B331" s="7"/>
      <c r="C331" s="4"/>
      <c r="D331" s="2"/>
      <c r="E331" s="7"/>
      <c r="F331" s="2"/>
      <c r="G331" s="2"/>
      <c r="H331" s="7"/>
      <c r="I331" s="4"/>
      <c r="J331" s="2"/>
      <c r="K331" s="2"/>
      <c r="L331" s="12"/>
      <c r="M331" s="6"/>
    </row>
    <row r="332" spans="1:13" s="8" customFormat="1" ht="45" customHeight="1" thickBot="1" x14ac:dyDescent="0.3">
      <c r="A332" s="3"/>
      <c r="B332" s="7"/>
      <c r="C332" s="4"/>
      <c r="D332" s="2"/>
      <c r="E332" s="7"/>
      <c r="F332" s="2"/>
      <c r="G332" s="2"/>
      <c r="H332" s="7"/>
      <c r="I332" s="4"/>
      <c r="J332" s="2"/>
      <c r="K332" s="2"/>
      <c r="L332" s="12"/>
      <c r="M332" s="6"/>
    </row>
    <row r="333" spans="1:13" s="8" customFormat="1" ht="45" customHeight="1" thickBot="1" x14ac:dyDescent="0.3">
      <c r="A333" s="3"/>
      <c r="B333" s="7"/>
      <c r="C333" s="4"/>
      <c r="D333" s="2"/>
      <c r="E333" s="7"/>
      <c r="F333" s="2"/>
      <c r="G333" s="2"/>
      <c r="H333" s="7"/>
      <c r="I333" s="4"/>
      <c r="J333" s="2"/>
      <c r="K333" s="2"/>
      <c r="L333" s="12"/>
      <c r="M333" s="6"/>
    </row>
    <row r="334" spans="1:13" s="8" customFormat="1" ht="45" customHeight="1" thickBot="1" x14ac:dyDescent="0.3">
      <c r="A334" s="3"/>
      <c r="B334" s="7"/>
      <c r="C334" s="4"/>
      <c r="D334" s="2"/>
      <c r="E334" s="7"/>
      <c r="F334" s="2"/>
      <c r="G334" s="2"/>
      <c r="H334" s="7"/>
      <c r="I334" s="4"/>
      <c r="J334" s="2"/>
      <c r="K334" s="2"/>
      <c r="L334" s="12"/>
      <c r="M334" s="6"/>
    </row>
    <row r="335" spans="1:13" ht="45" customHeight="1" thickBot="1" x14ac:dyDescent="0.3">
      <c r="A335" s="3"/>
      <c r="B335" s="7"/>
      <c r="C335" s="4"/>
      <c r="D335" s="14"/>
      <c r="E335" s="7"/>
      <c r="F335" s="2"/>
      <c r="G335" s="2"/>
      <c r="H335" s="7"/>
      <c r="I335" s="4"/>
      <c r="J335" s="4"/>
      <c r="K335" s="4"/>
      <c r="L335" s="11"/>
      <c r="M335" s="5"/>
    </row>
    <row r="336" spans="1:13" ht="45" customHeight="1" thickBot="1" x14ac:dyDescent="0.3">
      <c r="A336" s="3"/>
      <c r="B336" s="7"/>
      <c r="C336" s="4"/>
      <c r="D336" s="14"/>
      <c r="E336" s="7"/>
      <c r="F336" s="2"/>
      <c r="G336" s="2"/>
      <c r="H336" s="7"/>
      <c r="I336" s="4"/>
      <c r="J336" s="4"/>
      <c r="K336" s="4"/>
      <c r="L336" s="11"/>
      <c r="M336" s="5"/>
    </row>
    <row r="337" spans="1:13" ht="45" customHeight="1" thickBot="1" x14ac:dyDescent="0.3">
      <c r="A337" s="3"/>
      <c r="B337" s="7"/>
      <c r="C337" s="4"/>
      <c r="D337" s="14"/>
      <c r="E337" s="7"/>
      <c r="F337" s="2"/>
      <c r="G337" s="2"/>
      <c r="H337" s="7"/>
      <c r="I337" s="4"/>
      <c r="J337" s="4"/>
      <c r="K337" s="4"/>
      <c r="L337" s="11"/>
      <c r="M337" s="5"/>
    </row>
    <row r="338" spans="1:13" ht="45" customHeight="1" thickBot="1" x14ac:dyDescent="0.3">
      <c r="A338" s="3"/>
      <c r="B338" s="7"/>
      <c r="C338" s="4"/>
      <c r="D338" s="14"/>
      <c r="E338" s="7"/>
      <c r="F338" s="2"/>
      <c r="G338" s="2"/>
      <c r="H338" s="7"/>
      <c r="I338" s="4"/>
      <c r="J338" s="4"/>
      <c r="K338" s="4"/>
      <c r="L338" s="11"/>
      <c r="M338" s="5"/>
    </row>
    <row r="339" spans="1:13" s="8" customFormat="1" ht="45" customHeight="1" thickBot="1" x14ac:dyDescent="0.3">
      <c r="A339" s="3"/>
      <c r="B339" s="7"/>
      <c r="C339" s="4"/>
      <c r="D339" s="10"/>
      <c r="E339" s="7"/>
      <c r="F339" s="2"/>
      <c r="G339" s="2"/>
      <c r="H339" s="7"/>
      <c r="I339" s="4"/>
      <c r="J339" s="2"/>
      <c r="K339" s="2"/>
      <c r="L339" s="12"/>
      <c r="M339" s="6"/>
    </row>
    <row r="340" spans="1:13" s="8" customFormat="1" ht="45" customHeight="1" thickBot="1" x14ac:dyDescent="0.3">
      <c r="A340" s="3"/>
      <c r="B340" s="7"/>
      <c r="C340" s="4"/>
      <c r="D340" s="10"/>
      <c r="E340" s="7"/>
      <c r="F340" s="2"/>
      <c r="G340" s="2"/>
      <c r="H340" s="7"/>
      <c r="I340" s="4"/>
      <c r="J340" s="2"/>
      <c r="K340" s="2"/>
      <c r="L340" s="12"/>
      <c r="M340" s="6"/>
    </row>
    <row r="341" spans="1:13" s="8" customFormat="1" ht="45" customHeight="1" thickBot="1" x14ac:dyDescent="0.3">
      <c r="A341" s="3"/>
      <c r="B341" s="7"/>
      <c r="C341" s="4"/>
      <c r="D341" s="10"/>
      <c r="E341" s="7"/>
      <c r="F341" s="2"/>
      <c r="G341" s="2"/>
      <c r="H341" s="7"/>
      <c r="I341" s="4"/>
      <c r="J341" s="2"/>
      <c r="K341" s="2"/>
      <c r="L341" s="12"/>
      <c r="M341" s="6"/>
    </row>
    <row r="342" spans="1:13" s="8" customFormat="1" ht="45" customHeight="1" thickBot="1" x14ac:dyDescent="0.3">
      <c r="A342" s="3"/>
      <c r="B342" s="7"/>
      <c r="C342" s="4"/>
      <c r="D342" s="10"/>
      <c r="E342" s="7"/>
      <c r="F342" s="2"/>
      <c r="G342" s="2"/>
      <c r="H342" s="7"/>
      <c r="I342" s="4"/>
      <c r="J342" s="2"/>
      <c r="K342" s="2"/>
      <c r="L342" s="12"/>
      <c r="M342" s="6"/>
    </row>
    <row r="343" spans="1:13" s="8" customFormat="1" ht="45" customHeight="1" thickBot="1" x14ac:dyDescent="0.3">
      <c r="A343" s="3"/>
      <c r="B343" s="7"/>
      <c r="C343" s="4"/>
      <c r="D343" s="10"/>
      <c r="E343" s="7"/>
      <c r="F343" s="2"/>
      <c r="G343" s="2"/>
      <c r="H343" s="7"/>
      <c r="I343" s="4"/>
      <c r="J343" s="2"/>
      <c r="K343" s="2"/>
      <c r="L343" s="12"/>
      <c r="M343" s="6"/>
    </row>
    <row r="344" spans="1:13" s="8" customFormat="1" ht="45" customHeight="1" thickBot="1" x14ac:dyDescent="0.3">
      <c r="A344" s="3"/>
      <c r="B344" s="7"/>
      <c r="C344" s="4"/>
      <c r="D344" s="10"/>
      <c r="E344" s="7"/>
      <c r="F344" s="2"/>
      <c r="G344" s="2"/>
      <c r="H344" s="7"/>
      <c r="I344" s="4"/>
      <c r="J344" s="2"/>
      <c r="K344" s="2"/>
      <c r="L344" s="12"/>
      <c r="M344" s="6"/>
    </row>
    <row r="345" spans="1:13" ht="45" customHeight="1" thickBot="1" x14ac:dyDescent="0.3">
      <c r="A345" s="3"/>
      <c r="B345" s="7"/>
      <c r="C345" s="4"/>
      <c r="D345" s="10"/>
      <c r="E345" s="7"/>
      <c r="F345" s="2"/>
      <c r="G345" s="2"/>
      <c r="H345" s="7"/>
      <c r="I345" s="4"/>
      <c r="J345" s="2"/>
      <c r="K345" s="4"/>
      <c r="L345" s="11"/>
      <c r="M345" s="6"/>
    </row>
    <row r="346" spans="1:13" ht="45" customHeight="1" thickBot="1" x14ac:dyDescent="0.3">
      <c r="A346" s="3"/>
      <c r="B346" s="7"/>
      <c r="C346" s="4"/>
      <c r="D346" s="10"/>
      <c r="E346" s="7"/>
      <c r="F346" s="2"/>
      <c r="G346" s="2"/>
      <c r="H346" s="7"/>
      <c r="I346" s="4"/>
      <c r="J346" s="2"/>
      <c r="K346" s="4"/>
      <c r="L346" s="11"/>
      <c r="M346" s="6"/>
    </row>
    <row r="347" spans="1:13" ht="45" customHeight="1" thickBot="1" x14ac:dyDescent="0.3">
      <c r="A347" s="3"/>
      <c r="B347" s="7"/>
      <c r="C347" s="4"/>
      <c r="D347" s="10"/>
      <c r="E347" s="7"/>
      <c r="F347" s="2"/>
      <c r="G347" s="2"/>
      <c r="H347" s="7"/>
      <c r="I347" s="4"/>
      <c r="J347" s="2"/>
      <c r="K347" s="4"/>
      <c r="L347" s="11"/>
      <c r="M347" s="6"/>
    </row>
    <row r="348" spans="1:13" ht="45" customHeight="1" thickBot="1" x14ac:dyDescent="0.3">
      <c r="A348" s="3"/>
      <c r="B348" s="7"/>
      <c r="C348" s="4"/>
      <c r="D348" s="10"/>
      <c r="E348" s="7"/>
      <c r="F348" s="2"/>
      <c r="G348" s="2"/>
      <c r="H348" s="7"/>
      <c r="I348" s="4"/>
      <c r="J348" s="2"/>
      <c r="K348" s="4"/>
      <c r="L348" s="11"/>
      <c r="M348" s="6"/>
    </row>
    <row r="349" spans="1:13" s="8" customFormat="1" ht="45" customHeight="1" thickBot="1" x14ac:dyDescent="0.3">
      <c r="A349" s="3"/>
      <c r="B349" s="7"/>
      <c r="C349" s="4"/>
      <c r="D349" s="16"/>
      <c r="E349" s="7"/>
      <c r="F349" s="2"/>
      <c r="G349" s="2"/>
      <c r="H349" s="2"/>
      <c r="I349" s="4"/>
      <c r="J349" s="2"/>
      <c r="K349" s="2"/>
      <c r="L349" s="12"/>
      <c r="M349" s="6"/>
    </row>
    <row r="350" spans="1:13" ht="45" customHeight="1" thickBot="1" x14ac:dyDescent="0.3">
      <c r="A350" s="3"/>
      <c r="B350" s="7"/>
      <c r="C350" s="7"/>
      <c r="D350" s="14"/>
      <c r="E350" s="7"/>
      <c r="F350" s="2"/>
      <c r="G350" s="2"/>
      <c r="H350" s="7"/>
      <c r="I350" s="4"/>
      <c r="J350" s="4"/>
      <c r="K350" s="4"/>
      <c r="L350" s="11"/>
      <c r="M350" s="5"/>
    </row>
    <row r="351" spans="1:13" ht="45" customHeight="1" thickBot="1" x14ac:dyDescent="0.3">
      <c r="A351" s="3"/>
      <c r="B351" s="7"/>
      <c r="C351" s="2"/>
      <c r="D351" s="2"/>
      <c r="E351" s="7"/>
      <c r="F351" s="2"/>
      <c r="G351" s="2"/>
      <c r="H351" s="7"/>
      <c r="I351" s="4"/>
      <c r="J351" s="4"/>
      <c r="K351" s="4"/>
      <c r="L351" s="11"/>
      <c r="M351" s="44"/>
    </row>
    <row r="352" spans="1:13" ht="45" customHeight="1" thickBot="1" x14ac:dyDescent="0.3">
      <c r="A352" s="3"/>
      <c r="B352" s="7"/>
      <c r="C352" s="2"/>
      <c r="D352" s="2"/>
      <c r="E352" s="7"/>
      <c r="F352" s="2"/>
      <c r="G352" s="2"/>
      <c r="H352" s="7"/>
      <c r="I352" s="4"/>
      <c r="J352" s="4"/>
      <c r="K352" s="4"/>
      <c r="L352" s="11"/>
      <c r="M352" s="44"/>
    </row>
    <row r="353" spans="1:13" ht="45" customHeight="1" thickBot="1" x14ac:dyDescent="0.3">
      <c r="A353" s="3"/>
      <c r="B353" s="7"/>
      <c r="C353" s="2"/>
      <c r="D353" s="2"/>
      <c r="E353" s="7"/>
      <c r="F353" s="2"/>
      <c r="G353" s="2"/>
      <c r="H353" s="7"/>
      <c r="I353" s="4"/>
      <c r="J353" s="4"/>
      <c r="K353" s="4"/>
      <c r="L353" s="11"/>
      <c r="M353" s="44"/>
    </row>
    <row r="354" spans="1:13" ht="45" customHeight="1" thickBot="1" x14ac:dyDescent="0.3">
      <c r="A354" s="3"/>
      <c r="B354" s="7"/>
      <c r="C354" s="2"/>
      <c r="D354" s="2"/>
      <c r="E354" s="7"/>
      <c r="F354" s="2"/>
      <c r="G354" s="2"/>
      <c r="H354" s="7"/>
      <c r="I354" s="4"/>
      <c r="J354" s="4"/>
      <c r="K354" s="4"/>
      <c r="L354" s="11"/>
      <c r="M354" s="44"/>
    </row>
    <row r="355" spans="1:13" ht="45" customHeight="1" thickBot="1" x14ac:dyDescent="0.3">
      <c r="A355" s="3"/>
      <c r="B355" s="7"/>
      <c r="C355" s="2"/>
      <c r="D355" s="2"/>
      <c r="E355" s="7"/>
      <c r="F355" s="2"/>
      <c r="G355" s="2"/>
      <c r="H355" s="7"/>
      <c r="I355" s="4"/>
      <c r="J355" s="4"/>
      <c r="K355" s="4"/>
      <c r="L355" s="11"/>
      <c r="M355" s="44"/>
    </row>
    <row r="356" spans="1:13" ht="45" customHeight="1" thickBot="1" x14ac:dyDescent="0.3">
      <c r="A356" s="3"/>
      <c r="B356" s="7"/>
      <c r="C356" s="2"/>
      <c r="D356" s="2"/>
      <c r="E356" s="7"/>
      <c r="F356" s="2"/>
      <c r="G356" s="2"/>
      <c r="H356" s="7"/>
      <c r="I356" s="4"/>
      <c r="J356" s="4"/>
      <c r="K356" s="4"/>
      <c r="L356" s="11"/>
      <c r="M356" s="44"/>
    </row>
    <row r="357" spans="1:13" ht="45" customHeight="1" thickBot="1" x14ac:dyDescent="0.3">
      <c r="A357" s="3"/>
      <c r="B357" s="7"/>
      <c r="C357" s="2"/>
      <c r="D357" s="2"/>
      <c r="E357" s="7"/>
      <c r="F357" s="2"/>
      <c r="G357" s="2"/>
      <c r="H357" s="7"/>
      <c r="I357" s="4"/>
      <c r="J357" s="4"/>
      <c r="K357" s="4"/>
      <c r="L357" s="11"/>
      <c r="M357" s="44"/>
    </row>
    <row r="358" spans="1:13" ht="45" customHeight="1" thickBot="1" x14ac:dyDescent="0.3">
      <c r="A358" s="3"/>
      <c r="B358" s="7"/>
      <c r="C358" s="2"/>
      <c r="D358" s="2"/>
      <c r="E358" s="7"/>
      <c r="F358" s="2"/>
      <c r="G358" s="2"/>
      <c r="H358" s="7"/>
      <c r="I358" s="4"/>
      <c r="J358" s="4"/>
      <c r="K358" s="4"/>
      <c r="L358" s="11"/>
      <c r="M358" s="44"/>
    </row>
    <row r="359" spans="1:13" ht="45" customHeight="1" thickBot="1" x14ac:dyDescent="0.3">
      <c r="A359" s="3"/>
      <c r="B359" s="7"/>
      <c r="C359" s="2"/>
      <c r="D359" s="2"/>
      <c r="E359" s="7"/>
      <c r="F359" s="2"/>
      <c r="G359" s="2"/>
      <c r="H359" s="7"/>
      <c r="I359" s="4"/>
      <c r="J359" s="4"/>
      <c r="K359" s="4"/>
      <c r="L359" s="11"/>
      <c r="M359" s="44"/>
    </row>
    <row r="360" spans="1:13" ht="45" customHeight="1" thickBot="1" x14ac:dyDescent="0.3">
      <c r="A360" s="3"/>
      <c r="B360" s="7"/>
      <c r="C360" s="2"/>
      <c r="D360" s="2"/>
      <c r="E360" s="7"/>
      <c r="F360" s="2"/>
      <c r="G360" s="2"/>
      <c r="H360" s="7"/>
      <c r="I360" s="4"/>
      <c r="J360" s="4"/>
      <c r="K360" s="4"/>
      <c r="L360" s="11"/>
      <c r="M360" s="44"/>
    </row>
    <row r="361" spans="1:13" ht="45" customHeight="1" thickBot="1" x14ac:dyDescent="0.3">
      <c r="A361" s="3"/>
      <c r="B361" s="7"/>
      <c r="C361" s="2"/>
      <c r="D361" s="2"/>
      <c r="E361" s="7"/>
      <c r="F361" s="2"/>
      <c r="G361" s="2"/>
      <c r="H361" s="7"/>
      <c r="I361" s="4"/>
      <c r="J361" s="4"/>
      <c r="K361" s="4"/>
      <c r="L361" s="11"/>
      <c r="M361" s="44"/>
    </row>
    <row r="362" spans="1:13" ht="45" customHeight="1" thickBot="1" x14ac:dyDescent="0.3">
      <c r="A362" s="3"/>
      <c r="B362" s="7"/>
      <c r="C362" s="2"/>
      <c r="D362" s="2"/>
      <c r="E362" s="7"/>
      <c r="F362" s="2"/>
      <c r="G362" s="2"/>
      <c r="H362" s="7"/>
      <c r="I362" s="4"/>
      <c r="J362" s="4"/>
      <c r="K362" s="4"/>
      <c r="L362" s="11"/>
      <c r="M362" s="44"/>
    </row>
    <row r="363" spans="1:13" ht="45" customHeight="1" thickBot="1" x14ac:dyDescent="0.3">
      <c r="A363" s="3"/>
      <c r="B363" s="7"/>
      <c r="C363" s="2"/>
      <c r="D363" s="2"/>
      <c r="E363" s="7"/>
      <c r="F363" s="2"/>
      <c r="G363" s="2"/>
      <c r="H363" s="7"/>
      <c r="I363" s="4"/>
      <c r="J363" s="4"/>
      <c r="K363" s="4"/>
      <c r="L363" s="11"/>
      <c r="M363" s="44"/>
    </row>
    <row r="364" spans="1:13" ht="45" customHeight="1" thickBot="1" x14ac:dyDescent="0.3">
      <c r="A364" s="3"/>
      <c r="B364" s="7"/>
      <c r="C364" s="2"/>
      <c r="D364" s="2"/>
      <c r="E364" s="7"/>
      <c r="F364" s="2"/>
      <c r="G364" s="2"/>
      <c r="H364" s="7"/>
      <c r="I364" s="4"/>
      <c r="J364" s="4"/>
      <c r="K364" s="4"/>
      <c r="L364" s="11"/>
      <c r="M364" s="44"/>
    </row>
    <row r="365" spans="1:13" ht="45" customHeight="1" thickBot="1" x14ac:dyDescent="0.3">
      <c r="A365" s="3"/>
      <c r="B365" s="7"/>
      <c r="C365" s="2"/>
      <c r="D365" s="2"/>
      <c r="E365" s="7"/>
      <c r="F365" s="2"/>
      <c r="G365" s="2"/>
      <c r="H365" s="7"/>
      <c r="I365" s="4"/>
      <c r="J365" s="4"/>
      <c r="K365" s="4"/>
      <c r="L365" s="11"/>
      <c r="M365" s="44"/>
    </row>
    <row r="366" spans="1:13" ht="45" customHeight="1" thickBot="1" x14ac:dyDescent="0.3">
      <c r="A366" s="3"/>
      <c r="B366" s="7"/>
      <c r="C366" s="2"/>
      <c r="D366" s="2"/>
      <c r="E366" s="7"/>
      <c r="F366" s="2"/>
      <c r="G366" s="2"/>
      <c r="H366" s="7"/>
      <c r="I366" s="4"/>
      <c r="J366" s="4"/>
      <c r="K366" s="4"/>
      <c r="L366" s="11"/>
      <c r="M366" s="44"/>
    </row>
    <row r="367" spans="1:13" ht="45" customHeight="1" thickBot="1" x14ac:dyDescent="0.3">
      <c r="A367" s="3"/>
      <c r="B367" s="7"/>
      <c r="C367" s="2"/>
      <c r="D367" s="2"/>
      <c r="E367" s="7"/>
      <c r="F367" s="2"/>
      <c r="G367" s="2"/>
      <c r="H367" s="7"/>
      <c r="I367" s="4"/>
      <c r="J367" s="4"/>
      <c r="K367" s="4"/>
      <c r="L367" s="11"/>
      <c r="M367" s="44"/>
    </row>
    <row r="368" spans="1:13" ht="45" customHeight="1" thickBot="1" x14ac:dyDescent="0.3">
      <c r="A368" s="3"/>
      <c r="B368" s="7"/>
      <c r="C368" s="2"/>
      <c r="D368" s="2"/>
      <c r="E368" s="7"/>
      <c r="F368" s="2"/>
      <c r="G368" s="2"/>
      <c r="H368" s="7"/>
      <c r="I368" s="4"/>
      <c r="J368" s="4"/>
      <c r="K368" s="4"/>
      <c r="L368" s="11"/>
      <c r="M368" s="44"/>
    </row>
    <row r="369" spans="1:13" ht="45" customHeight="1" thickBot="1" x14ac:dyDescent="0.3">
      <c r="A369" s="3"/>
      <c r="B369" s="7"/>
      <c r="C369" s="2"/>
      <c r="D369" s="2"/>
      <c r="E369" s="7"/>
      <c r="F369" s="2"/>
      <c r="G369" s="2"/>
      <c r="H369" s="7"/>
      <c r="I369" s="4"/>
      <c r="J369" s="4"/>
      <c r="K369" s="4"/>
      <c r="L369" s="11"/>
      <c r="M369" s="44"/>
    </row>
    <row r="370" spans="1:13" ht="45" customHeight="1" thickBot="1" x14ac:dyDescent="0.3">
      <c r="A370" s="3"/>
      <c r="B370" s="7"/>
      <c r="C370" s="2"/>
      <c r="D370" s="2"/>
      <c r="E370" s="7"/>
      <c r="F370" s="2"/>
      <c r="G370" s="2"/>
      <c r="H370" s="7"/>
      <c r="I370" s="4"/>
      <c r="J370" s="4"/>
      <c r="K370" s="4"/>
      <c r="L370" s="11"/>
      <c r="M370" s="44"/>
    </row>
    <row r="371" spans="1:13" ht="45" customHeight="1" thickBot="1" x14ac:dyDescent="0.3">
      <c r="A371" s="3"/>
      <c r="B371" s="7"/>
      <c r="C371" s="2"/>
      <c r="D371" s="2"/>
      <c r="E371" s="7"/>
      <c r="F371" s="2"/>
      <c r="G371" s="2"/>
      <c r="H371" s="7"/>
      <c r="I371" s="4"/>
      <c r="J371" s="4"/>
      <c r="K371" s="4"/>
      <c r="L371" s="11"/>
      <c r="M371" s="44"/>
    </row>
    <row r="372" spans="1:13" ht="45" customHeight="1" thickBot="1" x14ac:dyDescent="0.3">
      <c r="A372" s="3"/>
      <c r="B372" s="7"/>
      <c r="C372" s="2"/>
      <c r="D372" s="2"/>
      <c r="E372" s="7"/>
      <c r="F372" s="2"/>
      <c r="G372" s="2"/>
      <c r="H372" s="7"/>
      <c r="I372" s="4"/>
      <c r="J372" s="4"/>
      <c r="K372" s="4"/>
      <c r="L372" s="11"/>
      <c r="M372" s="44"/>
    </row>
    <row r="373" spans="1:13" ht="45" customHeight="1" thickBot="1" x14ac:dyDescent="0.3">
      <c r="A373" s="3"/>
      <c r="B373" s="7"/>
      <c r="C373" s="2"/>
      <c r="D373" s="2"/>
      <c r="E373" s="7"/>
      <c r="F373" s="2"/>
      <c r="G373" s="2"/>
      <c r="H373" s="7"/>
      <c r="I373" s="4"/>
      <c r="J373" s="4"/>
      <c r="K373" s="4"/>
      <c r="L373" s="11"/>
      <c r="M373" s="44"/>
    </row>
    <row r="374" spans="1:13" ht="45" customHeight="1" thickBot="1" x14ac:dyDescent="0.3">
      <c r="A374" s="3"/>
      <c r="B374" s="7"/>
      <c r="C374" s="2"/>
      <c r="D374" s="2"/>
      <c r="E374" s="7"/>
      <c r="F374" s="2"/>
      <c r="G374" s="2"/>
      <c r="H374" s="7"/>
      <c r="I374" s="4"/>
      <c r="J374" s="4"/>
      <c r="K374" s="4"/>
      <c r="L374" s="11"/>
      <c r="M374" s="44"/>
    </row>
    <row r="375" spans="1:13" ht="45" customHeight="1" thickBot="1" x14ac:dyDescent="0.3">
      <c r="A375" s="3"/>
      <c r="B375" s="7"/>
      <c r="C375" s="2"/>
      <c r="D375" s="2"/>
      <c r="E375" s="7"/>
      <c r="F375" s="2"/>
      <c r="G375" s="2"/>
      <c r="H375" s="7"/>
      <c r="I375" s="4"/>
      <c r="J375" s="4"/>
      <c r="K375" s="4"/>
      <c r="L375" s="11"/>
      <c r="M375" s="44"/>
    </row>
    <row r="376" spans="1:13" ht="45" customHeight="1" thickBot="1" x14ac:dyDescent="0.3">
      <c r="A376" s="3"/>
      <c r="B376" s="7"/>
      <c r="C376" s="2"/>
      <c r="D376" s="2"/>
      <c r="E376" s="7"/>
      <c r="F376" s="2"/>
      <c r="G376" s="2"/>
      <c r="H376" s="7"/>
      <c r="I376" s="4"/>
      <c r="J376" s="4"/>
      <c r="K376" s="4"/>
      <c r="L376" s="11"/>
      <c r="M376" s="44"/>
    </row>
    <row r="377" spans="1:13" ht="45" customHeight="1" thickBot="1" x14ac:dyDescent="0.3">
      <c r="A377" s="3"/>
      <c r="B377" s="7"/>
      <c r="C377" s="2"/>
      <c r="D377" s="2"/>
      <c r="E377" s="7"/>
      <c r="F377" s="2"/>
      <c r="G377" s="2"/>
      <c r="H377" s="7"/>
      <c r="I377" s="4"/>
      <c r="J377" s="4"/>
      <c r="K377" s="4"/>
      <c r="L377" s="11"/>
      <c r="M377" s="44"/>
    </row>
    <row r="378" spans="1:13" ht="45" customHeight="1" thickBot="1" x14ac:dyDescent="0.3">
      <c r="A378" s="3"/>
      <c r="B378" s="7"/>
      <c r="C378" s="2"/>
      <c r="D378" s="2"/>
      <c r="E378" s="7"/>
      <c r="F378" s="2"/>
      <c r="G378" s="2"/>
      <c r="H378" s="7"/>
      <c r="I378" s="4"/>
      <c r="J378" s="4"/>
      <c r="K378" s="4"/>
      <c r="L378" s="11"/>
      <c r="M378" s="44"/>
    </row>
    <row r="379" spans="1:13" ht="45" customHeight="1" thickBot="1" x14ac:dyDescent="0.3">
      <c r="A379" s="3"/>
      <c r="B379" s="7"/>
      <c r="C379" s="2"/>
      <c r="D379" s="2"/>
      <c r="E379" s="7"/>
      <c r="F379" s="2"/>
      <c r="G379" s="2"/>
      <c r="H379" s="7"/>
      <c r="I379" s="4"/>
      <c r="J379" s="4"/>
      <c r="K379" s="4"/>
      <c r="L379" s="11"/>
      <c r="M379" s="44"/>
    </row>
    <row r="380" spans="1:13" ht="45" customHeight="1" thickBot="1" x14ac:dyDescent="0.3">
      <c r="A380" s="3"/>
      <c r="B380" s="7"/>
      <c r="C380" s="2"/>
      <c r="D380" s="2"/>
      <c r="E380" s="7"/>
      <c r="F380" s="2"/>
      <c r="G380" s="2"/>
      <c r="H380" s="7"/>
      <c r="I380" s="4"/>
      <c r="J380" s="4"/>
      <c r="K380" s="4"/>
      <c r="L380" s="11"/>
      <c r="M380" s="44"/>
    </row>
    <row r="381" spans="1:13" ht="45" customHeight="1" thickBot="1" x14ac:dyDescent="0.3">
      <c r="A381" s="3"/>
      <c r="B381" s="7"/>
      <c r="C381" s="2"/>
      <c r="D381" s="2"/>
      <c r="E381" s="7"/>
      <c r="F381" s="2"/>
      <c r="G381" s="2"/>
      <c r="H381" s="7"/>
      <c r="I381" s="4"/>
      <c r="J381" s="4"/>
      <c r="K381" s="4"/>
      <c r="L381" s="11"/>
      <c r="M381" s="44"/>
    </row>
    <row r="382" spans="1:13" ht="45" customHeight="1" thickBot="1" x14ac:dyDescent="0.3">
      <c r="A382" s="3"/>
      <c r="B382" s="7"/>
      <c r="C382" s="2"/>
      <c r="D382" s="2"/>
      <c r="E382" s="7"/>
      <c r="F382" s="2"/>
      <c r="G382" s="2"/>
      <c r="H382" s="7"/>
      <c r="I382" s="4"/>
      <c r="J382" s="4"/>
      <c r="K382" s="4"/>
      <c r="L382" s="11"/>
      <c r="M382" s="44"/>
    </row>
    <row r="383" spans="1:13" ht="45" customHeight="1" thickBot="1" x14ac:dyDescent="0.3">
      <c r="A383" s="3"/>
      <c r="B383" s="7"/>
      <c r="C383" s="2"/>
      <c r="D383" s="2"/>
      <c r="E383" s="7"/>
      <c r="F383" s="2"/>
      <c r="G383" s="2"/>
      <c r="H383" s="7"/>
      <c r="I383" s="4"/>
      <c r="J383" s="4"/>
      <c r="K383" s="4"/>
      <c r="L383" s="11"/>
      <c r="M383" s="44"/>
    </row>
    <row r="384" spans="1:13" ht="45" customHeight="1" thickBot="1" x14ac:dyDescent="0.3">
      <c r="A384" s="3"/>
      <c r="B384" s="7"/>
      <c r="C384" s="2"/>
      <c r="D384" s="2"/>
      <c r="E384" s="7"/>
      <c r="F384" s="2"/>
      <c r="G384" s="2"/>
      <c r="H384" s="7"/>
      <c r="I384" s="4"/>
      <c r="J384" s="4"/>
      <c r="K384" s="4"/>
      <c r="L384" s="11"/>
      <c r="M384" s="44"/>
    </row>
    <row r="385" spans="1:13" ht="45" customHeight="1" thickBot="1" x14ac:dyDescent="0.3">
      <c r="A385" s="3"/>
      <c r="B385" s="7"/>
      <c r="C385" s="2"/>
      <c r="D385" s="2"/>
      <c r="E385" s="7"/>
      <c r="F385" s="2"/>
      <c r="G385" s="2"/>
      <c r="H385" s="7"/>
      <c r="I385" s="4"/>
      <c r="J385" s="4"/>
      <c r="K385" s="4"/>
      <c r="L385" s="11"/>
      <c r="M385" s="44"/>
    </row>
    <row r="386" spans="1:13" ht="45" customHeight="1" thickBot="1" x14ac:dyDescent="0.3">
      <c r="A386" s="3"/>
      <c r="B386" s="7"/>
      <c r="C386" s="2"/>
      <c r="D386" s="2"/>
      <c r="E386" s="7"/>
      <c r="F386" s="2"/>
      <c r="G386" s="2"/>
      <c r="H386" s="7"/>
      <c r="I386" s="4"/>
      <c r="J386" s="4"/>
      <c r="K386" s="4"/>
      <c r="L386" s="11"/>
      <c r="M386" s="44"/>
    </row>
    <row r="387" spans="1:13" ht="45" customHeight="1" thickBot="1" x14ac:dyDescent="0.3">
      <c r="A387" s="3"/>
      <c r="B387" s="7"/>
      <c r="C387" s="2"/>
      <c r="D387" s="2"/>
      <c r="E387" s="7"/>
      <c r="F387" s="2"/>
      <c r="G387" s="2"/>
      <c r="H387" s="7"/>
      <c r="I387" s="4"/>
      <c r="J387" s="4"/>
      <c r="K387" s="4"/>
      <c r="L387" s="11"/>
      <c r="M387" s="44"/>
    </row>
    <row r="388" spans="1:13" ht="45" customHeight="1" thickBot="1" x14ac:dyDescent="0.3">
      <c r="A388" s="3"/>
      <c r="B388" s="7"/>
      <c r="C388" s="2"/>
      <c r="D388" s="2"/>
      <c r="E388" s="7"/>
      <c r="F388" s="2"/>
      <c r="G388" s="2"/>
      <c r="H388" s="7"/>
      <c r="I388" s="4"/>
      <c r="J388" s="4"/>
      <c r="K388" s="4"/>
      <c r="L388" s="11"/>
      <c r="M388" s="44"/>
    </row>
    <row r="389" spans="1:13" ht="45" customHeight="1" thickBot="1" x14ac:dyDescent="0.3">
      <c r="A389" s="3"/>
      <c r="B389" s="7"/>
      <c r="C389" s="2"/>
      <c r="D389" s="2"/>
      <c r="E389" s="7"/>
      <c r="F389" s="2"/>
      <c r="G389" s="2"/>
      <c r="H389" s="7"/>
      <c r="I389" s="4"/>
      <c r="J389" s="4"/>
      <c r="K389" s="4"/>
      <c r="L389" s="11"/>
      <c r="M389" s="44"/>
    </row>
    <row r="390" spans="1:13" ht="45" customHeight="1" thickBot="1" x14ac:dyDescent="0.3">
      <c r="A390" s="3"/>
      <c r="B390" s="7"/>
      <c r="C390" s="2"/>
      <c r="D390" s="2"/>
      <c r="E390" s="7"/>
      <c r="F390" s="2"/>
      <c r="G390" s="2"/>
      <c r="H390" s="7"/>
      <c r="I390" s="4"/>
      <c r="J390" s="4"/>
      <c r="K390" s="4"/>
      <c r="L390" s="11"/>
      <c r="M390" s="44"/>
    </row>
    <row r="391" spans="1:13" ht="45" customHeight="1" thickBot="1" x14ac:dyDescent="0.3">
      <c r="A391" s="3"/>
      <c r="B391" s="7"/>
      <c r="C391" s="2"/>
      <c r="D391" s="2"/>
      <c r="E391" s="7"/>
      <c r="F391" s="2"/>
      <c r="G391" s="2"/>
      <c r="H391" s="7"/>
      <c r="I391" s="4"/>
      <c r="J391" s="4"/>
      <c r="K391" s="4"/>
      <c r="L391" s="11"/>
      <c r="M391" s="44"/>
    </row>
    <row r="392" spans="1:13" ht="45" customHeight="1" thickBot="1" x14ac:dyDescent="0.3">
      <c r="A392" s="3"/>
      <c r="B392" s="7"/>
      <c r="C392" s="2"/>
      <c r="D392" s="2"/>
      <c r="E392" s="7"/>
      <c r="F392" s="2"/>
      <c r="G392" s="2"/>
      <c r="H392" s="7"/>
      <c r="I392" s="4"/>
      <c r="J392" s="4"/>
      <c r="K392" s="4"/>
      <c r="L392" s="11"/>
      <c r="M392" s="44"/>
    </row>
    <row r="393" spans="1:13" ht="45" customHeight="1" thickBot="1" x14ac:dyDescent="0.3">
      <c r="A393" s="3"/>
      <c r="B393" s="7"/>
      <c r="C393" s="2"/>
      <c r="D393" s="2"/>
      <c r="E393" s="7"/>
      <c r="F393" s="2"/>
      <c r="G393" s="2"/>
      <c r="H393" s="7"/>
      <c r="I393" s="4"/>
      <c r="J393" s="4"/>
      <c r="K393" s="4"/>
      <c r="L393" s="11"/>
      <c r="M393" s="44"/>
    </row>
    <row r="394" spans="1:13" ht="45" customHeight="1" thickBot="1" x14ac:dyDescent="0.3">
      <c r="A394" s="3"/>
      <c r="B394" s="7"/>
      <c r="C394" s="4"/>
      <c r="D394" s="2"/>
      <c r="E394" s="7"/>
      <c r="F394" s="2"/>
      <c r="G394" s="2"/>
      <c r="H394" s="7"/>
      <c r="I394" s="4"/>
      <c r="J394" s="4"/>
      <c r="K394" s="4"/>
      <c r="L394" s="11"/>
      <c r="M394" s="44"/>
    </row>
    <row r="395" spans="1:13" ht="45" customHeight="1" thickBot="1" x14ac:dyDescent="0.3">
      <c r="A395" s="3"/>
      <c r="B395" s="7"/>
      <c r="C395" s="4"/>
      <c r="D395" s="2"/>
      <c r="E395" s="7"/>
      <c r="F395" s="2"/>
      <c r="G395" s="2"/>
      <c r="H395" s="7"/>
      <c r="I395" s="4"/>
      <c r="J395" s="4"/>
      <c r="K395" s="4"/>
      <c r="L395" s="11"/>
      <c r="M395" s="44"/>
    </row>
    <row r="396" spans="1:13" s="8" customFormat="1" ht="45" customHeight="1" thickBot="1" x14ac:dyDescent="0.3">
      <c r="A396" s="3"/>
      <c r="B396" s="7"/>
      <c r="C396" s="2"/>
      <c r="D396" s="10"/>
      <c r="E396" s="7"/>
      <c r="F396" s="7"/>
      <c r="G396" s="7"/>
      <c r="H396" s="4"/>
      <c r="I396" s="4"/>
      <c r="J396" s="2"/>
      <c r="K396" s="2"/>
      <c r="L396" s="12"/>
      <c r="M396" s="6"/>
    </row>
    <row r="397" spans="1:13" s="8" customFormat="1" ht="45" customHeight="1" thickBot="1" x14ac:dyDescent="0.3">
      <c r="A397" s="3"/>
      <c r="B397" s="7"/>
      <c r="C397" s="2"/>
      <c r="D397" s="10"/>
      <c r="E397" s="7"/>
      <c r="F397" s="7"/>
      <c r="G397" s="7"/>
      <c r="H397" s="4"/>
      <c r="I397" s="4"/>
      <c r="J397" s="2"/>
      <c r="K397" s="2"/>
      <c r="L397" s="12"/>
      <c r="M397" s="6"/>
    </row>
    <row r="398" spans="1:13" s="8" customFormat="1" ht="45" customHeight="1" thickBot="1" x14ac:dyDescent="0.3">
      <c r="A398" s="3"/>
      <c r="B398" s="7"/>
      <c r="C398" s="2"/>
      <c r="D398" s="2"/>
      <c r="E398" s="7"/>
      <c r="F398" s="7"/>
      <c r="G398" s="7"/>
      <c r="H398" s="4"/>
      <c r="I398" s="4"/>
      <c r="J398" s="2"/>
      <c r="K398" s="2"/>
      <c r="L398" s="12"/>
      <c r="M398" s="6"/>
    </row>
    <row r="399" spans="1:13" s="8" customFormat="1" ht="45" customHeight="1" thickBot="1" x14ac:dyDescent="0.3">
      <c r="A399" s="3"/>
      <c r="B399" s="7"/>
      <c r="C399" s="2"/>
      <c r="D399" s="2"/>
      <c r="E399" s="7"/>
      <c r="F399" s="7"/>
      <c r="G399" s="7"/>
      <c r="H399" s="4"/>
      <c r="I399" s="4"/>
      <c r="J399" s="2"/>
      <c r="K399" s="2"/>
      <c r="L399" s="12"/>
      <c r="M399" s="6"/>
    </row>
    <row r="400" spans="1:13" s="8" customFormat="1" ht="45" customHeight="1" thickBot="1" x14ac:dyDescent="0.3">
      <c r="A400" s="3"/>
      <c r="B400" s="7"/>
      <c r="C400" s="2"/>
      <c r="D400" s="15"/>
      <c r="E400" s="7"/>
      <c r="F400" s="2"/>
      <c r="G400" s="2"/>
      <c r="H400" s="2"/>
      <c r="I400" s="4"/>
      <c r="J400" s="2"/>
      <c r="K400" s="2"/>
      <c r="L400" s="12"/>
      <c r="M400" s="6"/>
    </row>
    <row r="401" spans="1:13" s="8" customFormat="1" ht="45" customHeight="1" thickBot="1" x14ac:dyDescent="0.3">
      <c r="A401" s="3"/>
      <c r="B401" s="7"/>
      <c r="C401" s="2"/>
      <c r="D401" s="15"/>
      <c r="E401" s="2"/>
      <c r="F401" s="2"/>
      <c r="G401" s="2"/>
      <c r="H401" s="2"/>
      <c r="I401" s="4"/>
      <c r="J401" s="2"/>
      <c r="K401" s="2"/>
      <c r="L401" s="12"/>
      <c r="M401" s="6"/>
    </row>
    <row r="402" spans="1:13" s="8" customFormat="1" ht="45" customHeight="1" thickBot="1" x14ac:dyDescent="0.3">
      <c r="A402" s="3"/>
      <c r="B402" s="7"/>
      <c r="C402" s="2"/>
      <c r="D402" s="15"/>
      <c r="E402" s="2"/>
      <c r="F402" s="2"/>
      <c r="G402" s="2"/>
      <c r="H402" s="2"/>
      <c r="I402" s="4"/>
      <c r="J402" s="2"/>
      <c r="K402" s="2"/>
      <c r="L402" s="12"/>
      <c r="M402" s="6"/>
    </row>
    <row r="403" spans="1:13" s="8" customFormat="1" ht="45" customHeight="1" thickBot="1" x14ac:dyDescent="0.3">
      <c r="A403" s="3"/>
      <c r="B403" s="7"/>
      <c r="C403" s="2"/>
      <c r="D403" s="15"/>
      <c r="E403" s="2"/>
      <c r="F403" s="2"/>
      <c r="G403" s="2"/>
      <c r="H403" s="2"/>
      <c r="I403" s="4"/>
      <c r="J403" s="2"/>
      <c r="K403" s="2"/>
      <c r="L403" s="12"/>
      <c r="M403" s="6"/>
    </row>
    <row r="404" spans="1:13" s="8" customFormat="1" ht="45" customHeight="1" thickBot="1" x14ac:dyDescent="0.3">
      <c r="A404" s="3"/>
      <c r="B404" s="7"/>
      <c r="C404" s="2"/>
      <c r="D404" s="15"/>
      <c r="E404" s="2"/>
      <c r="F404" s="2"/>
      <c r="G404" s="2"/>
      <c r="H404" s="2"/>
      <c r="I404" s="4"/>
      <c r="J404" s="2"/>
      <c r="K404" s="2"/>
      <c r="L404" s="12"/>
      <c r="M404" s="6"/>
    </row>
    <row r="405" spans="1:13" s="8" customFormat="1" ht="45" customHeight="1" thickBot="1" x14ac:dyDescent="0.3">
      <c r="A405" s="3"/>
      <c r="B405" s="2" t="s">
        <v>18</v>
      </c>
      <c r="C405" s="2"/>
      <c r="D405" s="2"/>
      <c r="E405" s="2"/>
      <c r="F405" s="2"/>
      <c r="G405" s="2"/>
      <c r="H405" s="2"/>
      <c r="I405" s="2" t="s">
        <v>4</v>
      </c>
      <c r="J405" s="2">
        <f>SUM(J7:J404)</f>
        <v>0</v>
      </c>
      <c r="K405" s="2"/>
      <c r="L405" s="12"/>
      <c r="M405" s="6"/>
    </row>
  </sheetData>
  <autoFilter ref="A5:M29" xr:uid="{00000000-0009-0000-0000-000002000000}"/>
  <mergeCells count="16">
    <mergeCell ref="M5:M6"/>
    <mergeCell ref="A1:M2"/>
    <mergeCell ref="A3:M3"/>
    <mergeCell ref="A4:M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7" type="noConversion"/>
  <pageMargins left="0.7" right="0.7" top="0.75" bottom="0.75" header="0.3" footer="0.3"/>
  <pageSetup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01"/>
  <sheetViews>
    <sheetView view="pageBreakPreview" topLeftCell="A4" zoomScaleNormal="100" zoomScaleSheetLayoutView="100" workbookViewId="0">
      <pane xSplit="2" ySplit="3" topLeftCell="C9" activePane="bottomRight" state="frozen"/>
      <selection activeCell="A4" sqref="A4"/>
      <selection pane="topRight" activeCell="C4" sqref="C4"/>
      <selection pane="bottomLeft" activeCell="A7" sqref="A7"/>
      <selection pane="bottomRight" activeCell="D17" sqref="D17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2.140625" style="1" bestFit="1" customWidth="1"/>
    <col min="4" max="4" width="33.5703125" style="1" customWidth="1"/>
    <col min="5" max="5" width="28" style="1" bestFit="1" customWidth="1"/>
    <col min="6" max="6" width="10.7109375" style="1" bestFit="1" customWidth="1"/>
    <col min="7" max="7" width="10.7109375" style="1" customWidth="1"/>
    <col min="8" max="8" width="25.28515625" style="1" bestFit="1" customWidth="1"/>
    <col min="9" max="9" width="9.140625" style="1"/>
    <col min="10" max="10" width="20.7109375" style="1" customWidth="1"/>
    <col min="11" max="12" width="20.7109375" style="1" hidden="1" customWidth="1"/>
    <col min="13" max="13" width="21.5703125" style="1" customWidth="1"/>
    <col min="14" max="16384" width="9.140625" style="1"/>
  </cols>
  <sheetData>
    <row r="1" spans="1:13" x14ac:dyDescent="0.25">
      <c r="A1" s="68"/>
      <c r="B1" s="69"/>
      <c r="C1" s="69"/>
      <c r="D1" s="69"/>
      <c r="E1" s="69"/>
      <c r="F1" s="69"/>
      <c r="G1" s="69"/>
      <c r="H1" s="69"/>
      <c r="I1" s="69"/>
      <c r="J1" s="69"/>
      <c r="K1" s="70"/>
      <c r="L1" s="70"/>
      <c r="M1" s="71"/>
    </row>
    <row r="2" spans="1:13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  <c r="L2" s="74"/>
      <c r="M2" s="75"/>
    </row>
    <row r="3" spans="1:13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6" t="s">
        <v>308</v>
      </c>
      <c r="H5" s="84" t="s">
        <v>27</v>
      </c>
      <c r="I5" s="86" t="s">
        <v>312</v>
      </c>
      <c r="J5" s="86" t="s">
        <v>24</v>
      </c>
      <c r="K5" s="86" t="s">
        <v>24</v>
      </c>
      <c r="L5" s="86" t="s">
        <v>25</v>
      </c>
      <c r="M5" s="66" t="s">
        <v>3</v>
      </c>
    </row>
    <row r="6" spans="1:13" ht="18" customHeight="1" thickBot="1" x14ac:dyDescent="0.3">
      <c r="A6" s="83"/>
      <c r="B6" s="85"/>
      <c r="C6" s="85"/>
      <c r="D6" s="85"/>
      <c r="E6" s="85"/>
      <c r="F6" s="85"/>
      <c r="G6" s="87"/>
      <c r="H6" s="85"/>
      <c r="I6" s="87"/>
      <c r="J6" s="87"/>
      <c r="K6" s="87"/>
      <c r="L6" s="87"/>
      <c r="M6" s="67"/>
    </row>
    <row r="7" spans="1:13" s="8" customFormat="1" ht="45" customHeight="1" thickBot="1" x14ac:dyDescent="0.3">
      <c r="A7" s="3"/>
      <c r="B7" s="7" t="s">
        <v>382</v>
      </c>
      <c r="C7" s="2" t="s">
        <v>331</v>
      </c>
      <c r="D7" s="16" t="s">
        <v>383</v>
      </c>
      <c r="E7" s="2" t="s">
        <v>311</v>
      </c>
      <c r="F7" s="2" t="s">
        <v>247</v>
      </c>
      <c r="G7" s="2">
        <v>4</v>
      </c>
      <c r="H7" s="4" t="s">
        <v>386</v>
      </c>
      <c r="I7" s="2">
        <v>682.39099999999996</v>
      </c>
      <c r="J7" s="2" t="s">
        <v>154</v>
      </c>
      <c r="K7" s="12"/>
      <c r="L7" s="6"/>
    </row>
    <row r="8" spans="1:13" s="54" customFormat="1" ht="45" customHeight="1" thickBot="1" x14ac:dyDescent="0.3">
      <c r="A8" s="47"/>
      <c r="B8" s="48" t="s">
        <v>382</v>
      </c>
      <c r="C8" s="49" t="s">
        <v>331</v>
      </c>
      <c r="D8" s="50" t="s">
        <v>383</v>
      </c>
      <c r="E8" s="49" t="s">
        <v>311</v>
      </c>
      <c r="F8" s="49" t="s">
        <v>91</v>
      </c>
      <c r="G8" s="49">
        <v>4</v>
      </c>
      <c r="H8" s="51" t="s">
        <v>319</v>
      </c>
      <c r="I8" s="49">
        <f>13788.31/4</f>
        <v>3447.0774999999999</v>
      </c>
      <c r="J8" s="49" t="s">
        <v>154</v>
      </c>
      <c r="K8" s="52"/>
      <c r="L8" s="53"/>
    </row>
    <row r="9" spans="1:13" s="54" customFormat="1" ht="45" customHeight="1" thickBot="1" x14ac:dyDescent="0.3">
      <c r="A9" s="47"/>
      <c r="B9" s="48" t="s">
        <v>382</v>
      </c>
      <c r="C9" s="49" t="s">
        <v>331</v>
      </c>
      <c r="D9" s="50" t="s">
        <v>383</v>
      </c>
      <c r="E9" s="49" t="s">
        <v>311</v>
      </c>
      <c r="F9" s="49" t="s">
        <v>62</v>
      </c>
      <c r="G9" s="49">
        <v>1</v>
      </c>
      <c r="H9" s="51" t="s">
        <v>319</v>
      </c>
      <c r="I9" s="49">
        <f>2204.03+1341.26</f>
        <v>3545.29</v>
      </c>
      <c r="J9" s="49" t="s">
        <v>154</v>
      </c>
      <c r="K9" s="52"/>
      <c r="L9" s="53"/>
      <c r="M9" s="54" t="s">
        <v>391</v>
      </c>
    </row>
    <row r="10" spans="1:13" s="8" customFormat="1" ht="45" customHeight="1" thickBot="1" x14ac:dyDescent="0.3">
      <c r="A10" s="3"/>
      <c r="B10" s="7" t="s">
        <v>382</v>
      </c>
      <c r="C10" s="2" t="s">
        <v>331</v>
      </c>
      <c r="D10" s="16" t="s">
        <v>383</v>
      </c>
      <c r="E10" s="2" t="s">
        <v>311</v>
      </c>
      <c r="F10" s="2" t="s">
        <v>296</v>
      </c>
      <c r="G10" s="2">
        <v>1</v>
      </c>
      <c r="H10" s="4" t="s">
        <v>386</v>
      </c>
      <c r="I10" s="2">
        <v>800.12</v>
      </c>
      <c r="J10" s="2" t="s">
        <v>154</v>
      </c>
      <c r="K10" s="12"/>
      <c r="L10" s="6"/>
    </row>
    <row r="11" spans="1:13" s="8" customFormat="1" ht="45" customHeight="1" thickBot="1" x14ac:dyDescent="0.3">
      <c r="A11" s="3"/>
      <c r="B11" s="7" t="s">
        <v>382</v>
      </c>
      <c r="C11" s="2" t="s">
        <v>141</v>
      </c>
      <c r="D11" s="16" t="s">
        <v>383</v>
      </c>
      <c r="E11" s="2" t="s">
        <v>311</v>
      </c>
      <c r="F11" s="2" t="s">
        <v>31</v>
      </c>
      <c r="G11" s="2">
        <v>4</v>
      </c>
      <c r="H11" s="4" t="s">
        <v>319</v>
      </c>
      <c r="I11" s="2">
        <v>526.52</v>
      </c>
      <c r="J11" s="2" t="s">
        <v>154</v>
      </c>
      <c r="K11" s="12"/>
      <c r="L11" s="6"/>
    </row>
    <row r="12" spans="1:13" s="8" customFormat="1" ht="45" customHeight="1" thickBot="1" x14ac:dyDescent="0.3">
      <c r="A12" s="3"/>
      <c r="B12" s="7" t="s">
        <v>382</v>
      </c>
      <c r="C12" s="2" t="s">
        <v>481</v>
      </c>
      <c r="D12" s="16" t="s">
        <v>383</v>
      </c>
      <c r="E12" s="2" t="s">
        <v>311</v>
      </c>
      <c r="F12" s="2" t="s">
        <v>482</v>
      </c>
      <c r="G12" s="2">
        <v>2</v>
      </c>
      <c r="H12" s="4" t="s">
        <v>386</v>
      </c>
      <c r="I12" s="2">
        <v>276.08999999999997</v>
      </c>
      <c r="J12" s="2" t="s">
        <v>483</v>
      </c>
      <c r="K12" s="12"/>
      <c r="L12" s="6"/>
    </row>
    <row r="13" spans="1:13" s="8" customFormat="1" ht="45" customHeight="1" thickBot="1" x14ac:dyDescent="0.3">
      <c r="A13" s="3"/>
      <c r="B13" s="7" t="s">
        <v>382</v>
      </c>
      <c r="C13" s="2" t="s">
        <v>141</v>
      </c>
      <c r="D13" s="16" t="s">
        <v>383</v>
      </c>
      <c r="E13" s="2" t="s">
        <v>311</v>
      </c>
      <c r="F13" s="2" t="s">
        <v>482</v>
      </c>
      <c r="G13" s="2">
        <v>4</v>
      </c>
      <c r="H13" s="4" t="s">
        <v>484</v>
      </c>
      <c r="I13" s="2">
        <v>839.79</v>
      </c>
      <c r="J13" s="2"/>
      <c r="K13" s="12"/>
      <c r="L13" s="6"/>
    </row>
    <row r="14" spans="1:13" s="8" customFormat="1" ht="45" customHeight="1" thickBot="1" x14ac:dyDescent="0.3">
      <c r="A14" s="3"/>
      <c r="B14" s="7" t="s">
        <v>382</v>
      </c>
      <c r="C14" s="2" t="s">
        <v>141</v>
      </c>
      <c r="D14" s="16" t="s">
        <v>383</v>
      </c>
      <c r="E14" s="2" t="s">
        <v>311</v>
      </c>
      <c r="F14" s="2" t="s">
        <v>482</v>
      </c>
      <c r="G14" s="2">
        <v>1</v>
      </c>
      <c r="H14" s="4" t="s">
        <v>484</v>
      </c>
      <c r="I14" s="2">
        <v>163.66</v>
      </c>
      <c r="J14" s="10" t="s">
        <v>485</v>
      </c>
      <c r="K14" s="12"/>
      <c r="L14" s="6"/>
    </row>
    <row r="15" spans="1:13" s="8" customFormat="1" ht="45" customHeight="1" thickBot="1" x14ac:dyDescent="0.3">
      <c r="A15" s="3"/>
      <c r="B15" s="7" t="s">
        <v>382</v>
      </c>
      <c r="C15" s="2" t="s">
        <v>331</v>
      </c>
      <c r="D15" s="16" t="s">
        <v>383</v>
      </c>
      <c r="E15" s="2" t="s">
        <v>311</v>
      </c>
      <c r="F15" s="2" t="s">
        <v>482</v>
      </c>
      <c r="G15" s="2">
        <v>3</v>
      </c>
      <c r="H15" s="4" t="s">
        <v>486</v>
      </c>
      <c r="I15" s="2">
        <v>172.26</v>
      </c>
      <c r="J15" s="10" t="s">
        <v>487</v>
      </c>
      <c r="K15" s="12"/>
      <c r="L15" s="6"/>
    </row>
    <row r="16" spans="1:13" s="8" customFormat="1" ht="45" customHeight="1" thickBot="1" x14ac:dyDescent="0.3">
      <c r="A16" s="3"/>
      <c r="B16" s="7" t="s">
        <v>489</v>
      </c>
      <c r="C16" s="2" t="s">
        <v>331</v>
      </c>
      <c r="D16" s="16" t="s">
        <v>383</v>
      </c>
      <c r="E16" s="2" t="s">
        <v>311</v>
      </c>
      <c r="F16" s="2" t="s">
        <v>482</v>
      </c>
      <c r="G16" s="2">
        <v>1</v>
      </c>
      <c r="H16" s="4" t="s">
        <v>488</v>
      </c>
      <c r="I16" s="2">
        <v>118.82</v>
      </c>
      <c r="J16" s="2" t="s">
        <v>490</v>
      </c>
      <c r="K16" s="12"/>
      <c r="L16" s="6"/>
    </row>
    <row r="17" spans="1:13" s="8" customFormat="1" ht="45" customHeight="1" thickBot="1" x14ac:dyDescent="0.3">
      <c r="A17" s="3"/>
      <c r="B17" s="7"/>
      <c r="C17" s="4"/>
      <c r="D17" s="2"/>
      <c r="E17" s="7"/>
      <c r="F17" s="2"/>
      <c r="G17" s="2"/>
      <c r="H17" s="7"/>
      <c r="I17" s="4"/>
      <c r="J17" s="2"/>
      <c r="K17" s="2"/>
      <c r="L17" s="12"/>
      <c r="M17" s="6"/>
    </row>
    <row r="18" spans="1:13" s="8" customFormat="1" ht="45" customHeight="1" thickBot="1" x14ac:dyDescent="0.3">
      <c r="A18" s="3"/>
      <c r="B18" s="7"/>
      <c r="C18" s="4"/>
      <c r="D18" s="2"/>
      <c r="E18" s="7"/>
      <c r="F18" s="2"/>
      <c r="G18" s="2"/>
      <c r="H18" s="7"/>
      <c r="I18" s="4"/>
      <c r="J18" s="2"/>
      <c r="K18" s="2"/>
      <c r="L18" s="12"/>
      <c r="M18" s="6"/>
    </row>
    <row r="19" spans="1:13" s="8" customFormat="1" ht="45" customHeight="1" thickBot="1" x14ac:dyDescent="0.3">
      <c r="A19" s="3"/>
      <c r="B19" s="7"/>
      <c r="C19" s="4"/>
      <c r="D19" s="10"/>
      <c r="E19" s="7"/>
      <c r="F19" s="2"/>
      <c r="G19" s="2"/>
      <c r="H19" s="7"/>
      <c r="I19" s="4"/>
      <c r="J19" s="2"/>
      <c r="K19" s="2"/>
      <c r="L19" s="12"/>
      <c r="M19" s="6"/>
    </row>
    <row r="20" spans="1:13" s="8" customFormat="1" ht="45" customHeight="1" thickBot="1" x14ac:dyDescent="0.3">
      <c r="A20" s="3"/>
      <c r="B20" s="7"/>
      <c r="C20" s="4"/>
      <c r="D20" s="14"/>
      <c r="E20" s="7"/>
      <c r="F20" s="2"/>
      <c r="G20" s="2"/>
      <c r="H20" s="7"/>
      <c r="I20" s="4"/>
      <c r="J20" s="2"/>
      <c r="K20" s="2"/>
      <c r="L20" s="12"/>
      <c r="M20" s="6"/>
    </row>
    <row r="21" spans="1:13" s="8" customFormat="1" ht="45" customHeight="1" thickBot="1" x14ac:dyDescent="0.3">
      <c r="A21" s="3"/>
      <c r="B21" s="7"/>
      <c r="C21" s="7"/>
      <c r="D21" s="14"/>
      <c r="E21" s="7"/>
      <c r="F21" s="2"/>
      <c r="G21" s="2"/>
      <c r="H21" s="7"/>
      <c r="I21" s="4"/>
      <c r="J21" s="2"/>
      <c r="K21" s="2"/>
      <c r="L21" s="12"/>
      <c r="M21" s="6"/>
    </row>
    <row r="22" spans="1:13" s="8" customFormat="1" ht="45" customHeight="1" thickBot="1" x14ac:dyDescent="0.3">
      <c r="A22" s="3"/>
      <c r="B22" s="7"/>
      <c r="C22" s="7"/>
      <c r="D22" s="2"/>
      <c r="E22" s="7"/>
      <c r="F22" s="2"/>
      <c r="G22" s="2"/>
      <c r="H22" s="7"/>
      <c r="I22" s="4"/>
      <c r="J22" s="2"/>
      <c r="K22" s="2"/>
      <c r="L22" s="12"/>
      <c r="M22" s="6"/>
    </row>
    <row r="23" spans="1:13" s="8" customFormat="1" ht="45" customHeight="1" thickBot="1" x14ac:dyDescent="0.3">
      <c r="A23" s="3"/>
      <c r="B23" s="7"/>
      <c r="C23" s="7"/>
      <c r="D23" s="2"/>
      <c r="E23" s="7"/>
      <c r="F23" s="2"/>
      <c r="G23" s="2"/>
      <c r="H23" s="7"/>
      <c r="I23" s="4"/>
      <c r="J23" s="2"/>
      <c r="K23" s="2"/>
      <c r="L23" s="12"/>
      <c r="M23" s="6"/>
    </row>
    <row r="24" spans="1:13" s="8" customFormat="1" ht="45" customHeight="1" thickBot="1" x14ac:dyDescent="0.3">
      <c r="A24" s="3"/>
      <c r="B24" s="7"/>
      <c r="C24" s="7"/>
      <c r="D24" s="13"/>
      <c r="E24" s="7"/>
      <c r="F24" s="2"/>
      <c r="G24" s="2"/>
      <c r="H24" s="7"/>
      <c r="I24" s="4"/>
      <c r="J24" s="2"/>
      <c r="K24" s="2"/>
      <c r="L24" s="12"/>
      <c r="M24" s="6"/>
    </row>
    <row r="25" spans="1:13" s="8" customFormat="1" ht="45" customHeight="1" thickBot="1" x14ac:dyDescent="0.3">
      <c r="A25" s="3"/>
      <c r="B25" s="7"/>
      <c r="C25" s="7"/>
      <c r="D25" s="2"/>
      <c r="E25" s="7"/>
      <c r="F25" s="2"/>
      <c r="G25" s="2"/>
      <c r="H25" s="7"/>
      <c r="I25" s="4"/>
      <c r="J25" s="2"/>
      <c r="K25" s="2"/>
      <c r="L25" s="12"/>
      <c r="M25" s="6"/>
    </row>
    <row r="26" spans="1:13" s="8" customFormat="1" ht="45" customHeight="1" thickBot="1" x14ac:dyDescent="0.3">
      <c r="A26" s="3"/>
      <c r="B26" s="7"/>
      <c r="C26" s="4"/>
      <c r="D26" s="2"/>
      <c r="E26" s="7"/>
      <c r="F26" s="2"/>
      <c r="G26" s="2"/>
      <c r="H26" s="7"/>
      <c r="I26" s="4"/>
      <c r="J26" s="2"/>
      <c r="K26" s="2"/>
      <c r="L26" s="12"/>
      <c r="M26" s="6"/>
    </row>
    <row r="27" spans="1:13" s="8" customFormat="1" ht="45" customHeight="1" thickBot="1" x14ac:dyDescent="0.3">
      <c r="A27" s="3"/>
      <c r="B27" s="7"/>
      <c r="C27" s="4"/>
      <c r="D27" s="2"/>
      <c r="E27" s="7"/>
      <c r="F27" s="2"/>
      <c r="G27" s="2"/>
      <c r="H27" s="7"/>
      <c r="I27" s="4"/>
      <c r="J27" s="2"/>
      <c r="K27" s="2"/>
      <c r="L27" s="12"/>
      <c r="M27" s="6"/>
    </row>
    <row r="28" spans="1:13" s="8" customFormat="1" ht="45" customHeight="1" thickBot="1" x14ac:dyDescent="0.3">
      <c r="A28" s="3"/>
      <c r="B28" s="7"/>
      <c r="C28" s="4"/>
      <c r="D28" s="2"/>
      <c r="E28" s="7"/>
      <c r="F28" s="2"/>
      <c r="G28" s="2"/>
      <c r="H28" s="7"/>
      <c r="I28" s="4"/>
      <c r="J28" s="2"/>
      <c r="K28" s="2"/>
      <c r="L28" s="12"/>
      <c r="M28" s="6"/>
    </row>
    <row r="29" spans="1:13" s="8" customFormat="1" ht="45" customHeight="1" thickBot="1" x14ac:dyDescent="0.3">
      <c r="A29" s="3"/>
      <c r="B29" s="7"/>
      <c r="C29" s="4"/>
      <c r="D29" s="2"/>
      <c r="E29" s="7"/>
      <c r="F29" s="2"/>
      <c r="G29" s="2"/>
      <c r="H29" s="7"/>
      <c r="I29" s="4"/>
      <c r="J29" s="2"/>
      <c r="K29" s="2"/>
      <c r="L29" s="12"/>
      <c r="M29" s="6"/>
    </row>
    <row r="30" spans="1:13" s="8" customFormat="1" ht="45" customHeight="1" thickBot="1" x14ac:dyDescent="0.3">
      <c r="A30" s="3"/>
      <c r="B30" s="7"/>
      <c r="C30" s="4"/>
      <c r="D30" s="2"/>
      <c r="E30" s="7"/>
      <c r="F30" s="2"/>
      <c r="G30" s="2"/>
      <c r="H30" s="7"/>
      <c r="I30" s="4"/>
      <c r="J30" s="2"/>
      <c r="K30" s="2"/>
      <c r="L30" s="12"/>
      <c r="M30" s="6"/>
    </row>
    <row r="31" spans="1:13" s="8" customFormat="1" ht="45" customHeight="1" thickBot="1" x14ac:dyDescent="0.3">
      <c r="A31" s="3"/>
      <c r="B31" s="7"/>
      <c r="C31" s="4"/>
      <c r="D31" s="16"/>
      <c r="E31" s="7"/>
      <c r="F31" s="2"/>
      <c r="G31" s="2"/>
      <c r="H31" s="7"/>
      <c r="I31" s="4"/>
      <c r="J31" s="2"/>
      <c r="K31" s="2"/>
      <c r="L31" s="12"/>
      <c r="M31" s="6"/>
    </row>
    <row r="32" spans="1:13" s="8" customFormat="1" ht="45" customHeight="1" thickBot="1" x14ac:dyDescent="0.3">
      <c r="A32" s="3"/>
      <c r="B32" s="7"/>
      <c r="C32" s="4"/>
      <c r="D32" s="16"/>
      <c r="E32" s="7"/>
      <c r="F32" s="2"/>
      <c r="G32" s="2"/>
      <c r="H32" s="7"/>
      <c r="I32" s="4"/>
      <c r="J32" s="2"/>
      <c r="K32" s="2"/>
      <c r="L32" s="12"/>
      <c r="M32" s="6"/>
    </row>
    <row r="33" spans="1:13" s="8" customFormat="1" ht="45" customHeight="1" thickBot="1" x14ac:dyDescent="0.3">
      <c r="A33" s="3"/>
      <c r="B33" s="7"/>
      <c r="C33" s="4"/>
      <c r="D33" s="15"/>
      <c r="E33" s="7"/>
      <c r="F33" s="2"/>
      <c r="G33" s="2"/>
      <c r="H33" s="7"/>
      <c r="I33" s="4"/>
      <c r="J33" s="2"/>
      <c r="K33" s="2"/>
      <c r="L33" s="12"/>
      <c r="M33" s="6"/>
    </row>
    <row r="34" spans="1:13" ht="45" customHeight="1" thickBot="1" x14ac:dyDescent="0.3">
      <c r="A34" s="3"/>
      <c r="B34" s="7"/>
      <c r="C34" s="4"/>
      <c r="D34" s="15"/>
      <c r="E34" s="7"/>
      <c r="F34" s="2"/>
      <c r="G34" s="2"/>
      <c r="H34" s="7"/>
      <c r="I34" s="4"/>
      <c r="J34" s="4"/>
      <c r="K34" s="4"/>
      <c r="L34" s="11"/>
      <c r="M34" s="5"/>
    </row>
    <row r="35" spans="1:13" ht="45" customHeight="1" thickBot="1" x14ac:dyDescent="0.3">
      <c r="A35" s="3"/>
      <c r="B35" s="7"/>
      <c r="C35" s="4"/>
      <c r="D35" s="15"/>
      <c r="E35" s="7"/>
      <c r="F35" s="2"/>
      <c r="G35" s="2"/>
      <c r="H35" s="7"/>
      <c r="I35" s="4"/>
      <c r="J35" s="4"/>
      <c r="K35" s="4"/>
      <c r="L35" s="11"/>
      <c r="M35" s="5"/>
    </row>
    <row r="36" spans="1:13" s="8" customFormat="1" ht="45" customHeight="1" thickBot="1" x14ac:dyDescent="0.3">
      <c r="A36" s="3"/>
      <c r="B36" s="7"/>
      <c r="C36" s="4"/>
      <c r="D36" s="15"/>
      <c r="E36" s="7"/>
      <c r="F36" s="2"/>
      <c r="G36" s="2"/>
      <c r="H36" s="7"/>
      <c r="I36" s="4"/>
      <c r="J36" s="2"/>
      <c r="K36" s="2"/>
      <c r="L36" s="12"/>
      <c r="M36" s="6"/>
    </row>
    <row r="37" spans="1:13" s="8" customFormat="1" ht="45" customHeight="1" thickBot="1" x14ac:dyDescent="0.3">
      <c r="A37" s="3"/>
      <c r="B37" s="7"/>
      <c r="C37" s="4"/>
      <c r="D37" s="15"/>
      <c r="E37" s="7"/>
      <c r="F37" s="2"/>
      <c r="G37" s="2"/>
      <c r="H37" s="7"/>
      <c r="I37" s="4"/>
      <c r="J37" s="2"/>
      <c r="K37" s="2"/>
      <c r="L37" s="12"/>
      <c r="M37" s="6"/>
    </row>
    <row r="38" spans="1:13" ht="45" customHeight="1" thickBot="1" x14ac:dyDescent="0.3">
      <c r="A38" s="9"/>
      <c r="B38" s="7"/>
      <c r="C38" s="4"/>
      <c r="D38" s="15"/>
      <c r="E38" s="7"/>
      <c r="F38" s="2"/>
      <c r="G38" s="2"/>
      <c r="H38" s="7"/>
      <c r="I38" s="4"/>
      <c r="J38" s="4"/>
      <c r="K38" s="4"/>
      <c r="L38" s="11"/>
      <c r="M38" s="5"/>
    </row>
    <row r="39" spans="1:13" ht="45" customHeight="1" thickBot="1" x14ac:dyDescent="0.3">
      <c r="A39" s="9"/>
      <c r="B39" s="7"/>
      <c r="C39" s="4"/>
      <c r="D39" s="15"/>
      <c r="E39" s="7"/>
      <c r="F39" s="2"/>
      <c r="G39" s="2"/>
      <c r="H39" s="7"/>
      <c r="I39" s="4"/>
      <c r="J39" s="4"/>
      <c r="K39" s="4"/>
      <c r="L39" s="11"/>
      <c r="M39" s="5"/>
    </row>
    <row r="40" spans="1:13" ht="45" customHeight="1" thickBot="1" x14ac:dyDescent="0.3">
      <c r="A40" s="9"/>
      <c r="B40" s="7"/>
      <c r="C40" s="4"/>
      <c r="D40" s="15"/>
      <c r="E40" s="7"/>
      <c r="F40" s="2"/>
      <c r="G40" s="2"/>
      <c r="H40" s="7"/>
      <c r="I40" s="4"/>
      <c r="J40" s="4"/>
      <c r="K40" s="4"/>
      <c r="L40" s="11"/>
      <c r="M40" s="5"/>
    </row>
    <row r="41" spans="1:13" ht="45" customHeight="1" thickBot="1" x14ac:dyDescent="0.3">
      <c r="A41" s="9"/>
      <c r="B41" s="7"/>
      <c r="C41" s="4"/>
      <c r="D41" s="15"/>
      <c r="E41" s="7"/>
      <c r="F41" s="2"/>
      <c r="G41" s="2"/>
      <c r="H41" s="7"/>
      <c r="I41" s="4"/>
      <c r="J41" s="4"/>
      <c r="K41" s="4"/>
      <c r="L41" s="11"/>
      <c r="M41" s="5"/>
    </row>
    <row r="42" spans="1:13" s="8" customFormat="1" ht="45" customHeight="1" thickBot="1" x14ac:dyDescent="0.3">
      <c r="A42" s="3"/>
      <c r="B42" s="7"/>
      <c r="C42" s="4"/>
      <c r="D42" s="15"/>
      <c r="E42" s="7"/>
      <c r="F42" s="2"/>
      <c r="G42" s="2"/>
      <c r="H42" s="7"/>
      <c r="I42" s="4"/>
      <c r="J42" s="4"/>
      <c r="K42" s="2"/>
      <c r="L42" s="12"/>
      <c r="M42" s="6"/>
    </row>
    <row r="43" spans="1:13" ht="45" customHeight="1" thickBot="1" x14ac:dyDescent="0.3">
      <c r="A43" s="9"/>
      <c r="B43" s="7"/>
      <c r="C43" s="4"/>
      <c r="D43" s="15"/>
      <c r="E43" s="7"/>
      <c r="F43" s="2"/>
      <c r="G43" s="2"/>
      <c r="H43" s="7"/>
      <c r="I43" s="4"/>
      <c r="J43" s="4"/>
      <c r="K43" s="4"/>
      <c r="L43" s="11"/>
      <c r="M43" s="5"/>
    </row>
    <row r="44" spans="1:13" ht="45" customHeight="1" thickBot="1" x14ac:dyDescent="0.3">
      <c r="A44" s="9"/>
      <c r="B44" s="7"/>
      <c r="C44" s="4"/>
      <c r="D44" s="15"/>
      <c r="E44" s="7"/>
      <c r="F44" s="2"/>
      <c r="G44" s="2"/>
      <c r="H44" s="7"/>
      <c r="I44" s="4"/>
      <c r="J44" s="4"/>
      <c r="K44" s="4"/>
      <c r="L44" s="11"/>
      <c r="M44" s="5"/>
    </row>
    <row r="45" spans="1:13" ht="45" customHeight="1" thickBot="1" x14ac:dyDescent="0.3">
      <c r="A45" s="9"/>
      <c r="B45" s="7"/>
      <c r="C45" s="4"/>
      <c r="D45" s="15"/>
      <c r="E45" s="7"/>
      <c r="F45" s="2"/>
      <c r="G45" s="2"/>
      <c r="H45" s="7"/>
      <c r="I45" s="4"/>
      <c r="J45" s="4"/>
      <c r="K45" s="4"/>
      <c r="L45" s="11"/>
      <c r="M45" s="5"/>
    </row>
    <row r="46" spans="1:13" ht="45" customHeight="1" thickBot="1" x14ac:dyDescent="0.3">
      <c r="A46" s="9"/>
      <c r="B46" s="7"/>
      <c r="C46" s="4"/>
      <c r="D46" s="15"/>
      <c r="E46" s="7"/>
      <c r="F46" s="2"/>
      <c r="G46" s="2"/>
      <c r="H46" s="7"/>
      <c r="I46" s="4"/>
      <c r="J46" s="4"/>
      <c r="K46" s="4"/>
      <c r="L46" s="11"/>
      <c r="M46" s="5"/>
    </row>
    <row r="47" spans="1:13" s="8" customFormat="1" ht="45" customHeight="1" thickBot="1" x14ac:dyDescent="0.3">
      <c r="A47" s="3"/>
      <c r="B47" s="7"/>
      <c r="C47" s="4"/>
      <c r="D47" s="15"/>
      <c r="E47" s="7"/>
      <c r="F47" s="2"/>
      <c r="G47" s="2"/>
      <c r="H47" s="7"/>
      <c r="I47" s="4"/>
      <c r="J47" s="2"/>
      <c r="K47" s="2"/>
      <c r="L47" s="12"/>
      <c r="M47" s="6"/>
    </row>
    <row r="48" spans="1:13" s="8" customFormat="1" ht="45" customHeight="1" thickBot="1" x14ac:dyDescent="0.3">
      <c r="A48" s="3"/>
      <c r="B48" s="7"/>
      <c r="C48" s="4"/>
      <c r="D48" s="15"/>
      <c r="E48" s="7"/>
      <c r="F48" s="2"/>
      <c r="G48" s="2"/>
      <c r="H48" s="7"/>
      <c r="I48" s="4"/>
      <c r="J48" s="2"/>
      <c r="K48" s="2"/>
      <c r="L48" s="12"/>
      <c r="M48" s="6"/>
    </row>
    <row r="49" spans="1:13" s="8" customFormat="1" ht="45" customHeight="1" thickBot="1" x14ac:dyDescent="0.3">
      <c r="A49" s="3"/>
      <c r="B49" s="7"/>
      <c r="C49" s="4"/>
      <c r="D49" s="15"/>
      <c r="E49" s="7"/>
      <c r="F49" s="2"/>
      <c r="G49" s="2"/>
      <c r="H49" s="7"/>
      <c r="I49" s="4"/>
      <c r="J49" s="2"/>
      <c r="K49" s="2"/>
      <c r="L49" s="12"/>
      <c r="M49" s="6"/>
    </row>
    <row r="50" spans="1:13" s="8" customFormat="1" ht="45" customHeight="1" thickBot="1" x14ac:dyDescent="0.3">
      <c r="A50" s="3"/>
      <c r="B50" s="7"/>
      <c r="C50" s="4"/>
      <c r="D50" s="15"/>
      <c r="E50" s="7"/>
      <c r="F50" s="2"/>
      <c r="G50" s="2"/>
      <c r="H50" s="7"/>
      <c r="I50" s="4"/>
      <c r="J50" s="2"/>
      <c r="K50" s="2"/>
      <c r="L50" s="12"/>
      <c r="M50" s="6"/>
    </row>
    <row r="51" spans="1:13" s="8" customFormat="1" ht="45" customHeight="1" thickBot="1" x14ac:dyDescent="0.3">
      <c r="A51" s="3"/>
      <c r="B51" s="7"/>
      <c r="C51" s="4"/>
      <c r="D51" s="15"/>
      <c r="E51" s="7"/>
      <c r="F51" s="2"/>
      <c r="G51" s="2"/>
      <c r="H51" s="7"/>
      <c r="I51" s="4"/>
      <c r="J51" s="2"/>
      <c r="K51" s="2"/>
      <c r="L51" s="12"/>
      <c r="M51" s="6"/>
    </row>
    <row r="52" spans="1:13" s="8" customFormat="1" ht="45" customHeight="1" thickBot="1" x14ac:dyDescent="0.3">
      <c r="A52" s="3"/>
      <c r="B52" s="7"/>
      <c r="C52" s="4"/>
      <c r="D52" s="15"/>
      <c r="E52" s="7"/>
      <c r="F52" s="2"/>
      <c r="G52" s="2"/>
      <c r="H52" s="7"/>
      <c r="I52" s="4"/>
      <c r="J52" s="2"/>
      <c r="K52" s="2"/>
      <c r="L52" s="12"/>
      <c r="M52" s="6"/>
    </row>
    <row r="53" spans="1:13" s="8" customFormat="1" ht="45" customHeight="1" thickBot="1" x14ac:dyDescent="0.3">
      <c r="A53" s="3"/>
      <c r="B53" s="7"/>
      <c r="C53" s="4"/>
      <c r="D53" s="15"/>
      <c r="E53" s="7"/>
      <c r="F53" s="2"/>
      <c r="G53" s="2"/>
      <c r="H53" s="7"/>
      <c r="I53" s="4"/>
      <c r="J53" s="2"/>
      <c r="K53" s="2"/>
      <c r="L53" s="12"/>
      <c r="M53" s="6"/>
    </row>
    <row r="54" spans="1:13" s="8" customFormat="1" ht="45" customHeight="1" thickBot="1" x14ac:dyDescent="0.3">
      <c r="A54" s="3"/>
      <c r="B54" s="7"/>
      <c r="C54" s="4"/>
      <c r="D54" s="15"/>
      <c r="E54" s="7"/>
      <c r="F54" s="2"/>
      <c r="G54" s="2"/>
      <c r="H54" s="4"/>
      <c r="I54" s="4"/>
      <c r="J54" s="2"/>
      <c r="K54" s="2"/>
      <c r="L54" s="12"/>
      <c r="M54" s="6"/>
    </row>
    <row r="55" spans="1:13" s="8" customFormat="1" ht="45" customHeight="1" thickBot="1" x14ac:dyDescent="0.3">
      <c r="A55" s="3"/>
      <c r="B55" s="7"/>
      <c r="C55" s="4"/>
      <c r="D55" s="15"/>
      <c r="E55" s="7"/>
      <c r="F55" s="2"/>
      <c r="G55" s="2"/>
      <c r="H55" s="7"/>
      <c r="I55" s="4"/>
      <c r="J55" s="2"/>
      <c r="K55" s="2"/>
      <c r="L55" s="12"/>
      <c r="M55" s="6"/>
    </row>
    <row r="56" spans="1:13" s="8" customFormat="1" ht="45" customHeight="1" thickBot="1" x14ac:dyDescent="0.3">
      <c r="A56" s="3"/>
      <c r="B56" s="7"/>
      <c r="C56" s="4"/>
      <c r="D56" s="10"/>
      <c r="E56" s="7"/>
      <c r="F56" s="2"/>
      <c r="G56" s="2"/>
      <c r="H56" s="4"/>
      <c r="I56" s="4"/>
      <c r="J56" s="2"/>
      <c r="K56" s="2"/>
      <c r="L56" s="12"/>
      <c r="M56" s="6"/>
    </row>
    <row r="57" spans="1:13" s="8" customFormat="1" ht="45" customHeight="1" thickBot="1" x14ac:dyDescent="0.3">
      <c r="A57" s="3"/>
      <c r="B57" s="7"/>
      <c r="C57" s="2"/>
      <c r="D57" s="10"/>
      <c r="E57" s="7"/>
      <c r="F57" s="2"/>
      <c r="G57" s="2"/>
      <c r="H57" s="4"/>
      <c r="I57" s="4"/>
      <c r="J57" s="2"/>
      <c r="K57" s="2"/>
      <c r="L57" s="12"/>
      <c r="M57" s="6"/>
    </row>
    <row r="58" spans="1:13" s="8" customFormat="1" ht="45" customHeight="1" thickBot="1" x14ac:dyDescent="0.3">
      <c r="A58" s="3"/>
      <c r="B58" s="7"/>
      <c r="C58" s="2"/>
      <c r="D58" s="15"/>
      <c r="E58" s="7"/>
      <c r="F58" s="2"/>
      <c r="G58" s="2"/>
      <c r="H58" s="7"/>
      <c r="I58" s="4"/>
      <c r="J58" s="2"/>
      <c r="K58" s="2"/>
      <c r="L58" s="12"/>
      <c r="M58" s="6"/>
    </row>
    <row r="59" spans="1:13" s="8" customFormat="1" ht="15.75" thickBot="1" x14ac:dyDescent="0.3">
      <c r="A59" s="3"/>
      <c r="B59" s="7"/>
      <c r="C59" s="2"/>
      <c r="D59" s="14"/>
      <c r="E59" s="7"/>
      <c r="F59" s="2"/>
      <c r="G59" s="2"/>
      <c r="H59" s="7"/>
      <c r="I59" s="4"/>
      <c r="J59" s="2"/>
      <c r="K59" s="2"/>
      <c r="L59" s="12"/>
      <c r="M59" s="6"/>
    </row>
    <row r="60" spans="1:13" s="8" customFormat="1" ht="15.75" thickBot="1" x14ac:dyDescent="0.3">
      <c r="A60" s="3"/>
      <c r="B60" s="7"/>
      <c r="C60" s="2"/>
      <c r="D60" s="14"/>
      <c r="E60" s="7"/>
      <c r="F60" s="2"/>
      <c r="G60" s="2"/>
      <c r="H60" s="7"/>
      <c r="I60" s="4"/>
      <c r="J60" s="2"/>
      <c r="K60" s="2"/>
      <c r="L60" s="12"/>
      <c r="M60" s="6"/>
    </row>
    <row r="61" spans="1:13" s="8" customFormat="1" ht="45" customHeight="1" thickBot="1" x14ac:dyDescent="0.3">
      <c r="A61" s="3"/>
      <c r="B61" s="7"/>
      <c r="C61" s="4"/>
      <c r="D61" s="15"/>
      <c r="E61" s="7"/>
      <c r="F61" s="2"/>
      <c r="G61" s="2"/>
      <c r="H61" s="7"/>
      <c r="I61" s="4"/>
      <c r="J61" s="2"/>
      <c r="K61" s="2"/>
      <c r="L61" s="12"/>
      <c r="M61" s="6"/>
    </row>
    <row r="62" spans="1:13" s="8" customFormat="1" ht="45" customHeight="1" thickBot="1" x14ac:dyDescent="0.3">
      <c r="A62" s="3"/>
      <c r="B62" s="7"/>
      <c r="C62" s="4"/>
      <c r="D62" s="15"/>
      <c r="E62" s="7"/>
      <c r="F62" s="2"/>
      <c r="G62" s="2"/>
      <c r="H62" s="7"/>
      <c r="I62" s="4"/>
      <c r="J62" s="2"/>
      <c r="K62" s="2"/>
      <c r="L62" s="12"/>
      <c r="M62" s="6"/>
    </row>
    <row r="63" spans="1:13" s="8" customFormat="1" ht="45" customHeight="1" thickBot="1" x14ac:dyDescent="0.3">
      <c r="A63" s="3"/>
      <c r="B63" s="7"/>
      <c r="C63" s="4"/>
      <c r="D63" s="15"/>
      <c r="E63" s="7"/>
      <c r="F63" s="2"/>
      <c r="G63" s="2"/>
      <c r="H63" s="7"/>
      <c r="I63" s="4"/>
      <c r="J63" s="2"/>
      <c r="K63" s="2"/>
      <c r="L63" s="12"/>
      <c r="M63" s="6"/>
    </row>
    <row r="64" spans="1:13" s="8" customFormat="1" ht="45" customHeight="1" thickBot="1" x14ac:dyDescent="0.3">
      <c r="A64" s="3"/>
      <c r="B64" s="7"/>
      <c r="C64" s="4"/>
      <c r="D64" s="15"/>
      <c r="E64" s="7"/>
      <c r="F64" s="2"/>
      <c r="G64" s="2"/>
      <c r="H64" s="7"/>
      <c r="I64" s="4"/>
      <c r="J64" s="2"/>
      <c r="K64" s="2"/>
      <c r="L64" s="12"/>
      <c r="M64" s="6"/>
    </row>
    <row r="65" spans="1:13" s="8" customFormat="1" ht="45" customHeight="1" thickBot="1" x14ac:dyDescent="0.3">
      <c r="A65" s="3"/>
      <c r="B65" s="7"/>
      <c r="C65" s="4"/>
      <c r="D65" s="15"/>
      <c r="E65" s="7"/>
      <c r="F65" s="2"/>
      <c r="G65" s="2"/>
      <c r="H65" s="7"/>
      <c r="I65" s="4"/>
      <c r="J65" s="2"/>
      <c r="K65" s="2"/>
      <c r="L65" s="12"/>
      <c r="M65" s="6"/>
    </row>
    <row r="66" spans="1:13" s="8" customFormat="1" ht="45" customHeight="1" thickBot="1" x14ac:dyDescent="0.3">
      <c r="A66" s="3"/>
      <c r="B66" s="7"/>
      <c r="C66" s="4"/>
      <c r="D66" s="15"/>
      <c r="E66" s="7"/>
      <c r="F66" s="2"/>
      <c r="G66" s="2"/>
      <c r="H66" s="7"/>
      <c r="I66" s="4"/>
      <c r="J66" s="2"/>
      <c r="K66" s="2"/>
      <c r="L66" s="12"/>
      <c r="M66" s="6"/>
    </row>
    <row r="67" spans="1:13" s="8" customFormat="1" ht="45" customHeight="1" thickBot="1" x14ac:dyDescent="0.3">
      <c r="A67" s="3"/>
      <c r="B67" s="7"/>
      <c r="C67" s="4"/>
      <c r="D67" s="15"/>
      <c r="E67" s="7"/>
      <c r="F67" s="2"/>
      <c r="G67" s="2"/>
      <c r="H67" s="7"/>
      <c r="I67" s="4"/>
      <c r="J67" s="2"/>
      <c r="K67" s="2"/>
      <c r="L67" s="12"/>
      <c r="M67" s="6"/>
    </row>
    <row r="68" spans="1:13" s="8" customFormat="1" ht="45" customHeight="1" thickBot="1" x14ac:dyDescent="0.3">
      <c r="A68" s="3"/>
      <c r="B68" s="7"/>
      <c r="C68" s="4"/>
      <c r="D68" s="15"/>
      <c r="E68" s="7"/>
      <c r="F68" s="2"/>
      <c r="G68" s="2"/>
      <c r="H68" s="7"/>
      <c r="I68" s="4"/>
      <c r="J68" s="2"/>
      <c r="K68" s="2"/>
      <c r="L68" s="12"/>
      <c r="M68" s="6"/>
    </row>
    <row r="69" spans="1:13" s="8" customFormat="1" ht="45" customHeight="1" thickBot="1" x14ac:dyDescent="0.3">
      <c r="A69" s="3"/>
      <c r="B69" s="7"/>
      <c r="C69" s="2"/>
      <c r="D69" s="10"/>
      <c r="E69" s="7"/>
      <c r="F69" s="2"/>
      <c r="G69" s="2"/>
      <c r="H69" s="7"/>
      <c r="I69" s="4"/>
      <c r="J69" s="2"/>
      <c r="K69" s="2"/>
      <c r="L69" s="12"/>
      <c r="M69" s="6"/>
    </row>
    <row r="70" spans="1:13" s="8" customFormat="1" ht="45" customHeight="1" thickBot="1" x14ac:dyDescent="0.3">
      <c r="A70" s="3"/>
      <c r="B70" s="7"/>
      <c r="C70" s="2"/>
      <c r="D70" s="10"/>
      <c r="E70" s="7"/>
      <c r="F70" s="2"/>
      <c r="G70" s="2"/>
      <c r="H70" s="7"/>
      <c r="I70" s="4"/>
      <c r="J70" s="2"/>
      <c r="K70" s="2"/>
      <c r="L70" s="12"/>
      <c r="M70" s="6"/>
    </row>
    <row r="71" spans="1:13" s="8" customFormat="1" ht="15.75" thickBot="1" x14ac:dyDescent="0.3">
      <c r="A71" s="3"/>
      <c r="B71" s="7"/>
      <c r="C71" s="2"/>
      <c r="D71" s="14"/>
      <c r="E71" s="7"/>
      <c r="F71" s="2"/>
      <c r="G71" s="2"/>
      <c r="H71" s="7"/>
      <c r="I71" s="4"/>
      <c r="J71" s="2"/>
      <c r="K71" s="2"/>
      <c r="L71" s="12"/>
      <c r="M71" s="6"/>
    </row>
    <row r="72" spans="1:13" s="8" customFormat="1" ht="15.75" thickBot="1" x14ac:dyDescent="0.3">
      <c r="A72" s="3"/>
      <c r="B72" s="7"/>
      <c r="C72" s="2"/>
      <c r="D72" s="14"/>
      <c r="E72" s="7"/>
      <c r="F72" s="2"/>
      <c r="G72" s="2"/>
      <c r="H72" s="7"/>
      <c r="I72" s="4"/>
      <c r="J72" s="2"/>
      <c r="K72" s="2"/>
      <c r="L72" s="12"/>
      <c r="M72" s="6"/>
    </row>
    <row r="73" spans="1:13" s="8" customFormat="1" ht="45" customHeight="1" thickBot="1" x14ac:dyDescent="0.3">
      <c r="A73" s="3"/>
      <c r="B73" s="7"/>
      <c r="C73" s="4"/>
      <c r="D73" s="15"/>
      <c r="E73" s="7"/>
      <c r="F73" s="2"/>
      <c r="G73" s="2"/>
      <c r="H73" s="7"/>
      <c r="I73" s="4"/>
      <c r="J73" s="2"/>
      <c r="K73" s="2"/>
      <c r="L73" s="12"/>
      <c r="M73" s="6"/>
    </row>
    <row r="74" spans="1:13" s="8" customFormat="1" ht="45" customHeight="1" thickBot="1" x14ac:dyDescent="0.3">
      <c r="A74" s="3"/>
      <c r="B74" s="7"/>
      <c r="C74" s="4"/>
      <c r="D74" s="15"/>
      <c r="E74" s="7"/>
      <c r="F74" s="2"/>
      <c r="G74" s="2"/>
      <c r="H74" s="7"/>
      <c r="I74" s="4"/>
      <c r="J74" s="2"/>
      <c r="K74" s="2"/>
      <c r="L74" s="12"/>
      <c r="M74" s="6"/>
    </row>
    <row r="75" spans="1:13" s="8" customFormat="1" ht="45" customHeight="1" thickBot="1" x14ac:dyDescent="0.3">
      <c r="A75" s="3"/>
      <c r="B75" s="7"/>
      <c r="C75" s="4"/>
      <c r="D75" s="15"/>
      <c r="E75" s="7"/>
      <c r="F75" s="2"/>
      <c r="G75" s="2"/>
      <c r="H75" s="7"/>
      <c r="I75" s="4"/>
      <c r="J75" s="2"/>
      <c r="K75" s="2"/>
      <c r="L75" s="12"/>
      <c r="M75" s="6"/>
    </row>
    <row r="76" spans="1:13" s="8" customFormat="1" ht="45" customHeight="1" thickBot="1" x14ac:dyDescent="0.3">
      <c r="A76" s="3"/>
      <c r="B76" s="7"/>
      <c r="C76" s="4"/>
      <c r="D76" s="15"/>
      <c r="E76" s="7"/>
      <c r="F76" s="2"/>
      <c r="G76" s="2"/>
      <c r="H76" s="7"/>
      <c r="I76" s="4"/>
      <c r="J76" s="2"/>
      <c r="K76" s="2"/>
      <c r="L76" s="12"/>
      <c r="M76" s="6"/>
    </row>
    <row r="77" spans="1:13" s="8" customFormat="1" ht="45" customHeight="1" thickBot="1" x14ac:dyDescent="0.3">
      <c r="A77" s="3"/>
      <c r="B77" s="7"/>
      <c r="C77" s="4"/>
      <c r="D77" s="15"/>
      <c r="E77" s="7"/>
      <c r="F77" s="2"/>
      <c r="G77" s="2"/>
      <c r="H77" s="7"/>
      <c r="I77" s="4"/>
      <c r="J77" s="2"/>
      <c r="K77" s="2"/>
      <c r="L77" s="12"/>
      <c r="M77" s="6"/>
    </row>
    <row r="78" spans="1:13" s="8" customFormat="1" ht="45" customHeight="1" thickBot="1" x14ac:dyDescent="0.3">
      <c r="A78" s="3"/>
      <c r="B78" s="7"/>
      <c r="C78" s="4"/>
      <c r="D78" s="15"/>
      <c r="E78" s="7"/>
      <c r="F78" s="2"/>
      <c r="G78" s="2"/>
      <c r="H78" s="2"/>
      <c r="I78" s="4"/>
      <c r="J78" s="2"/>
      <c r="K78" s="2"/>
      <c r="L78" s="12"/>
      <c r="M78" s="6"/>
    </row>
    <row r="79" spans="1:13" s="8" customFormat="1" ht="45" customHeight="1" thickBot="1" x14ac:dyDescent="0.3">
      <c r="A79" s="3"/>
      <c r="B79" s="7"/>
      <c r="C79" s="4"/>
      <c r="D79" s="15"/>
      <c r="E79" s="7"/>
      <c r="F79" s="2"/>
      <c r="G79" s="2"/>
      <c r="H79" s="2"/>
      <c r="I79" s="4"/>
      <c r="J79" s="2"/>
      <c r="K79" s="2"/>
      <c r="L79" s="12"/>
      <c r="M79" s="6"/>
    </row>
    <row r="80" spans="1:13" s="8" customFormat="1" ht="45" customHeight="1" thickBot="1" x14ac:dyDescent="0.3">
      <c r="A80" s="3"/>
      <c r="B80" s="7"/>
      <c r="C80" s="4"/>
      <c r="D80" s="15"/>
      <c r="E80" s="7"/>
      <c r="F80" s="2"/>
      <c r="G80" s="2"/>
      <c r="H80" s="2"/>
      <c r="I80" s="4"/>
      <c r="J80" s="2"/>
      <c r="K80" s="2"/>
      <c r="L80" s="12"/>
      <c r="M80" s="6"/>
    </row>
    <row r="81" spans="1:13" s="8" customFormat="1" ht="45" customHeight="1" thickBot="1" x14ac:dyDescent="0.3">
      <c r="A81" s="3"/>
      <c r="B81" s="7"/>
      <c r="C81" s="4"/>
      <c r="D81" s="15"/>
      <c r="E81" s="7"/>
      <c r="F81" s="2"/>
      <c r="G81" s="2"/>
      <c r="H81" s="2"/>
      <c r="I81" s="4"/>
      <c r="J81" s="2"/>
      <c r="K81" s="2"/>
      <c r="L81" s="12"/>
      <c r="M81" s="6"/>
    </row>
    <row r="82" spans="1:13" s="8" customFormat="1" ht="45" customHeight="1" thickBot="1" x14ac:dyDescent="0.3">
      <c r="A82" s="3"/>
      <c r="B82" s="7"/>
      <c r="C82" s="4"/>
      <c r="D82" s="10"/>
      <c r="E82" s="7"/>
      <c r="F82" s="2"/>
      <c r="G82" s="2"/>
      <c r="H82" s="2"/>
      <c r="I82" s="4"/>
      <c r="J82" s="2"/>
      <c r="K82" s="2"/>
      <c r="L82" s="12"/>
      <c r="M82" s="6"/>
    </row>
    <row r="83" spans="1:13" s="8" customFormat="1" ht="45" customHeight="1" thickBot="1" x14ac:dyDescent="0.3">
      <c r="A83" s="3"/>
      <c r="B83" s="7"/>
      <c r="C83" s="4"/>
      <c r="D83" s="16"/>
      <c r="E83" s="7"/>
      <c r="F83" s="2"/>
      <c r="G83" s="2"/>
      <c r="H83" s="2"/>
      <c r="I83" s="4"/>
      <c r="J83" s="2"/>
      <c r="K83" s="2"/>
      <c r="L83" s="12"/>
      <c r="M83" s="6"/>
    </row>
    <row r="84" spans="1:13" s="8" customFormat="1" ht="45" customHeight="1" thickBot="1" x14ac:dyDescent="0.3">
      <c r="A84" s="3"/>
      <c r="B84" s="7"/>
      <c r="C84" s="4"/>
      <c r="D84" s="16"/>
      <c r="E84" s="7"/>
      <c r="F84" s="2"/>
      <c r="G84" s="2"/>
      <c r="H84" s="2"/>
      <c r="I84" s="4"/>
      <c r="J84" s="2"/>
      <c r="K84" s="2"/>
      <c r="L84" s="12"/>
      <c r="M84" s="6"/>
    </row>
    <row r="85" spans="1:13" s="8" customFormat="1" ht="45" customHeight="1" thickBot="1" x14ac:dyDescent="0.3">
      <c r="A85" s="3"/>
      <c r="B85" s="7"/>
      <c r="C85" s="4"/>
      <c r="D85" s="15"/>
      <c r="E85" s="7"/>
      <c r="F85" s="2"/>
      <c r="G85" s="2"/>
      <c r="H85" s="2"/>
      <c r="I85" s="4"/>
      <c r="J85" s="2"/>
      <c r="K85" s="2"/>
      <c r="L85" s="12"/>
      <c r="M85" s="6"/>
    </row>
    <row r="86" spans="1:13" s="8" customFormat="1" ht="45" customHeight="1" thickBot="1" x14ac:dyDescent="0.3">
      <c r="A86" s="3"/>
      <c r="B86" s="7"/>
      <c r="C86" s="4"/>
      <c r="D86" s="15"/>
      <c r="E86" s="7"/>
      <c r="F86" s="2"/>
      <c r="G86" s="2"/>
      <c r="H86" s="2"/>
      <c r="I86" s="4"/>
      <c r="J86" s="2"/>
      <c r="K86" s="2"/>
      <c r="L86" s="12"/>
      <c r="M86" s="6"/>
    </row>
    <row r="87" spans="1:13" s="8" customFormat="1" ht="45" customHeight="1" thickBot="1" x14ac:dyDescent="0.3">
      <c r="A87" s="3"/>
      <c r="B87" s="7"/>
      <c r="C87" s="4"/>
      <c r="D87" s="16"/>
      <c r="E87" s="7"/>
      <c r="F87" s="2"/>
      <c r="G87" s="2"/>
      <c r="H87" s="2"/>
      <c r="I87" s="4"/>
      <c r="J87" s="2"/>
      <c r="K87" s="2"/>
      <c r="L87" s="12"/>
      <c r="M87" s="6"/>
    </row>
    <row r="88" spans="1:13" s="8" customFormat="1" ht="45" customHeight="1" thickBot="1" x14ac:dyDescent="0.3">
      <c r="A88" s="3"/>
      <c r="B88" s="7"/>
      <c r="C88" s="4"/>
      <c r="D88" s="15"/>
      <c r="E88" s="7"/>
      <c r="F88" s="2"/>
      <c r="G88" s="2"/>
      <c r="H88" s="2"/>
      <c r="I88" s="4"/>
      <c r="J88" s="2"/>
      <c r="K88" s="2"/>
      <c r="L88" s="12"/>
      <c r="M88" s="6"/>
    </row>
    <row r="89" spans="1:13" s="8" customFormat="1" ht="45" customHeight="1" thickBot="1" x14ac:dyDescent="0.3">
      <c r="A89" s="3"/>
      <c r="B89" s="7"/>
      <c r="C89" s="4"/>
      <c r="D89" s="15"/>
      <c r="E89" s="7"/>
      <c r="F89" s="2"/>
      <c r="G89" s="2"/>
      <c r="H89" s="2"/>
      <c r="I89" s="4"/>
      <c r="J89" s="2"/>
      <c r="K89" s="2"/>
      <c r="L89" s="12"/>
      <c r="M89" s="6"/>
    </row>
    <row r="90" spans="1:13" s="8" customFormat="1" ht="45" customHeight="1" thickBot="1" x14ac:dyDescent="0.3">
      <c r="A90" s="3"/>
      <c r="B90" s="7"/>
      <c r="C90" s="4"/>
      <c r="D90" s="15"/>
      <c r="E90" s="7"/>
      <c r="F90" s="2"/>
      <c r="G90" s="2"/>
      <c r="H90" s="2"/>
      <c r="I90" s="4"/>
      <c r="J90" s="2"/>
      <c r="K90" s="2"/>
      <c r="L90" s="12"/>
      <c r="M90" s="6"/>
    </row>
    <row r="91" spans="1:13" s="8" customFormat="1" ht="45" customHeight="1" thickBot="1" x14ac:dyDescent="0.3">
      <c r="A91" s="3"/>
      <c r="B91" s="7"/>
      <c r="C91" s="4"/>
      <c r="D91" s="15"/>
      <c r="E91" s="7"/>
      <c r="F91" s="2"/>
      <c r="G91" s="2"/>
      <c r="H91" s="2"/>
      <c r="I91" s="4"/>
      <c r="J91" s="2"/>
      <c r="K91" s="2"/>
      <c r="L91" s="12"/>
      <c r="M91" s="6"/>
    </row>
    <row r="92" spans="1:13" s="8" customFormat="1" ht="45" customHeight="1" thickBot="1" x14ac:dyDescent="0.3">
      <c r="A92" s="3"/>
      <c r="B92" s="7"/>
      <c r="C92" s="4"/>
      <c r="D92" s="15"/>
      <c r="E92" s="7"/>
      <c r="F92" s="2"/>
      <c r="G92" s="2"/>
      <c r="H92" s="2"/>
      <c r="I92" s="4"/>
      <c r="J92" s="2"/>
      <c r="K92" s="2"/>
      <c r="L92" s="12"/>
      <c r="M92" s="6"/>
    </row>
    <row r="93" spans="1:13" s="8" customFormat="1" ht="45" customHeight="1" thickBot="1" x14ac:dyDescent="0.3">
      <c r="A93" s="3"/>
      <c r="B93" s="7"/>
      <c r="C93" s="4"/>
      <c r="D93" s="15"/>
      <c r="E93" s="7"/>
      <c r="F93" s="2"/>
      <c r="G93" s="2"/>
      <c r="H93" s="2"/>
      <c r="I93" s="4"/>
      <c r="J93" s="2"/>
      <c r="K93" s="2"/>
      <c r="L93" s="12"/>
      <c r="M93" s="6"/>
    </row>
    <row r="94" spans="1:13" s="8" customFormat="1" ht="45" customHeight="1" thickBot="1" x14ac:dyDescent="0.3">
      <c r="A94" s="3"/>
      <c r="B94" s="7"/>
      <c r="C94" s="4"/>
      <c r="D94" s="15"/>
      <c r="E94" s="7"/>
      <c r="F94" s="2"/>
      <c r="G94" s="2"/>
      <c r="H94" s="2"/>
      <c r="I94" s="4"/>
      <c r="J94" s="2"/>
      <c r="K94" s="2"/>
      <c r="L94" s="12"/>
      <c r="M94" s="6"/>
    </row>
    <row r="95" spans="1:13" s="8" customFormat="1" ht="45" customHeight="1" thickBot="1" x14ac:dyDescent="0.3">
      <c r="A95" s="3"/>
      <c r="B95" s="7"/>
      <c r="C95" s="4"/>
      <c r="D95" s="15"/>
      <c r="E95" s="7"/>
      <c r="F95" s="2"/>
      <c r="G95" s="2"/>
      <c r="H95" s="2"/>
      <c r="I95" s="4"/>
      <c r="J95" s="2"/>
      <c r="K95" s="2"/>
      <c r="L95" s="12"/>
      <c r="M95" s="6"/>
    </row>
    <row r="96" spans="1:13" s="8" customFormat="1" ht="45" customHeight="1" thickBot="1" x14ac:dyDescent="0.3">
      <c r="A96" s="3"/>
      <c r="B96" s="7"/>
      <c r="C96" s="4"/>
      <c r="D96" s="15"/>
      <c r="E96" s="7"/>
      <c r="F96" s="2"/>
      <c r="G96" s="2"/>
      <c r="H96" s="2"/>
      <c r="I96" s="4"/>
      <c r="J96" s="2"/>
      <c r="K96" s="2"/>
      <c r="L96" s="12"/>
      <c r="M96" s="6"/>
    </row>
    <row r="97" spans="1:13" s="8" customFormat="1" ht="45" customHeight="1" thickBot="1" x14ac:dyDescent="0.3">
      <c r="A97" s="3"/>
      <c r="B97" s="7"/>
      <c r="C97" s="4"/>
      <c r="D97" s="15"/>
      <c r="E97" s="7"/>
      <c r="F97" s="2"/>
      <c r="G97" s="2"/>
      <c r="H97" s="2"/>
      <c r="I97" s="4"/>
      <c r="J97" s="2"/>
      <c r="K97" s="2"/>
      <c r="L97" s="12"/>
      <c r="M97" s="6"/>
    </row>
    <row r="98" spans="1:13" s="8" customFormat="1" ht="45" customHeight="1" thickBot="1" x14ac:dyDescent="0.3">
      <c r="A98" s="3"/>
      <c r="B98" s="7"/>
      <c r="C98" s="4"/>
      <c r="D98" s="15"/>
      <c r="E98" s="7"/>
      <c r="F98" s="2"/>
      <c r="G98" s="2"/>
      <c r="H98" s="2"/>
      <c r="I98" s="4"/>
      <c r="J98" s="2"/>
      <c r="K98" s="2"/>
      <c r="L98" s="12"/>
      <c r="M98" s="6"/>
    </row>
    <row r="99" spans="1:13" s="8" customFormat="1" ht="45" customHeight="1" thickBot="1" x14ac:dyDescent="0.3">
      <c r="A99" s="3"/>
      <c r="B99" s="7"/>
      <c r="C99" s="4"/>
      <c r="D99" s="15"/>
      <c r="E99" s="7"/>
      <c r="F99" s="2"/>
      <c r="G99" s="2"/>
      <c r="H99" s="2"/>
      <c r="I99" s="4"/>
      <c r="J99" s="2"/>
      <c r="K99" s="2"/>
      <c r="L99" s="12"/>
      <c r="M99" s="6"/>
    </row>
    <row r="100" spans="1:13" s="8" customFormat="1" ht="45" customHeight="1" thickBot="1" x14ac:dyDescent="0.3">
      <c r="A100" s="3"/>
      <c r="B100" s="7"/>
      <c r="C100" s="4"/>
      <c r="D100" s="15"/>
      <c r="E100" s="7"/>
      <c r="F100" s="2"/>
      <c r="G100" s="2"/>
      <c r="H100" s="2"/>
      <c r="I100" s="4"/>
      <c r="J100" s="2"/>
      <c r="K100" s="2"/>
      <c r="L100" s="12"/>
      <c r="M100" s="6"/>
    </row>
    <row r="101" spans="1:13" s="8" customFormat="1" ht="45" customHeight="1" thickBot="1" x14ac:dyDescent="0.3">
      <c r="A101" s="3"/>
      <c r="B101" s="7"/>
      <c r="C101" s="4"/>
      <c r="D101" s="10"/>
      <c r="E101" s="7"/>
      <c r="F101" s="2"/>
      <c r="G101" s="2"/>
      <c r="H101" s="2"/>
      <c r="I101" s="4"/>
      <c r="J101" s="2"/>
      <c r="K101" s="2"/>
      <c r="L101" s="12"/>
      <c r="M101" s="6"/>
    </row>
    <row r="102" spans="1:13" s="8" customFormat="1" ht="45" customHeight="1" thickBot="1" x14ac:dyDescent="0.3">
      <c r="A102" s="3"/>
      <c r="B102" s="7"/>
      <c r="C102" s="4"/>
      <c r="D102" s="10"/>
      <c r="E102" s="7"/>
      <c r="F102" s="2"/>
      <c r="G102" s="2"/>
      <c r="H102" s="2"/>
      <c r="I102" s="4"/>
      <c r="J102" s="2"/>
      <c r="K102" s="2"/>
      <c r="L102" s="12"/>
      <c r="M102" s="6"/>
    </row>
    <row r="103" spans="1:13" s="8" customFormat="1" ht="45" customHeight="1" thickBot="1" x14ac:dyDescent="0.3">
      <c r="A103" s="3"/>
      <c r="B103" s="7"/>
      <c r="C103" s="4"/>
      <c r="D103" s="10"/>
      <c r="E103" s="7"/>
      <c r="F103" s="2"/>
      <c r="G103" s="2"/>
      <c r="H103" s="2"/>
      <c r="I103" s="4"/>
      <c r="J103" s="2"/>
      <c r="K103" s="2"/>
      <c r="L103" s="12"/>
      <c r="M103" s="6"/>
    </row>
    <row r="104" spans="1:13" s="8" customFormat="1" ht="45" customHeight="1" thickBot="1" x14ac:dyDescent="0.3">
      <c r="A104" s="3"/>
      <c r="B104" s="7"/>
      <c r="C104" s="2"/>
      <c r="D104" s="15"/>
      <c r="E104" s="2"/>
      <c r="F104" s="2"/>
      <c r="G104" s="2"/>
      <c r="H104" s="2"/>
      <c r="I104" s="4"/>
      <c r="J104" s="2"/>
      <c r="K104" s="2"/>
      <c r="L104" s="12"/>
      <c r="M104" s="6"/>
    </row>
    <row r="105" spans="1:13" s="8" customFormat="1" ht="45" customHeight="1" thickBot="1" x14ac:dyDescent="0.3">
      <c r="A105" s="3"/>
      <c r="B105" s="7"/>
      <c r="C105" s="2"/>
      <c r="D105" s="15"/>
      <c r="E105" s="2"/>
      <c r="F105" s="2"/>
      <c r="G105" s="2"/>
      <c r="H105" s="2"/>
      <c r="I105" s="4"/>
      <c r="J105" s="2"/>
      <c r="K105" s="2"/>
      <c r="L105" s="12"/>
      <c r="M105" s="6"/>
    </row>
    <row r="106" spans="1:13" s="8" customFormat="1" ht="45" customHeight="1" thickBot="1" x14ac:dyDescent="0.3">
      <c r="A106" s="3"/>
      <c r="B106" s="7"/>
      <c r="C106" s="2"/>
      <c r="D106" s="15"/>
      <c r="E106" s="2"/>
      <c r="F106" s="2"/>
      <c r="G106" s="2"/>
      <c r="H106" s="2"/>
      <c r="I106" s="4"/>
      <c r="J106" s="2"/>
      <c r="K106" s="2"/>
      <c r="L106" s="12"/>
      <c r="M106" s="6"/>
    </row>
    <row r="107" spans="1:13" s="8" customFormat="1" ht="45" customHeight="1" thickBot="1" x14ac:dyDescent="0.3">
      <c r="A107" s="3"/>
      <c r="B107" s="7"/>
      <c r="C107" s="4"/>
      <c r="D107" s="15"/>
      <c r="E107" s="2"/>
      <c r="F107" s="2"/>
      <c r="G107" s="2"/>
      <c r="H107" s="2"/>
      <c r="I107" s="4"/>
      <c r="J107" s="2"/>
      <c r="K107" s="2"/>
      <c r="L107" s="12"/>
      <c r="M107" s="6"/>
    </row>
    <row r="108" spans="1:13" s="8" customFormat="1" ht="45" customHeight="1" thickBot="1" x14ac:dyDescent="0.3">
      <c r="A108" s="3"/>
      <c r="B108" s="7"/>
      <c r="C108" s="2"/>
      <c r="D108" s="15"/>
      <c r="E108" s="7"/>
      <c r="F108" s="2"/>
      <c r="G108" s="2"/>
      <c r="H108" s="2"/>
      <c r="I108" s="4"/>
      <c r="J108" s="2"/>
      <c r="K108" s="2"/>
      <c r="L108" s="12"/>
      <c r="M108" s="6"/>
    </row>
    <row r="109" spans="1:13" s="8" customFormat="1" ht="45" customHeight="1" thickBot="1" x14ac:dyDescent="0.3">
      <c r="A109" s="3"/>
      <c r="B109" s="7"/>
      <c r="C109" s="2"/>
      <c r="D109" s="15"/>
      <c r="E109" s="7"/>
      <c r="F109" s="2"/>
      <c r="G109" s="2"/>
      <c r="H109" s="2"/>
      <c r="I109" s="4"/>
      <c r="J109" s="2"/>
      <c r="K109" s="2"/>
      <c r="L109" s="12"/>
      <c r="M109" s="6"/>
    </row>
    <row r="110" spans="1:13" s="8" customFormat="1" ht="45" customHeight="1" thickBot="1" x14ac:dyDescent="0.3">
      <c r="A110" s="3"/>
      <c r="B110" s="7"/>
      <c r="C110" s="2"/>
      <c r="D110" s="15"/>
      <c r="E110" s="7"/>
      <c r="F110" s="2"/>
      <c r="G110" s="2"/>
      <c r="H110" s="2"/>
      <c r="I110" s="4"/>
      <c r="J110" s="2"/>
      <c r="K110" s="2"/>
      <c r="L110" s="12"/>
      <c r="M110" s="6"/>
    </row>
    <row r="111" spans="1:13" s="8" customFormat="1" ht="45" customHeight="1" thickBot="1" x14ac:dyDescent="0.3">
      <c r="A111" s="3"/>
      <c r="B111" s="7"/>
      <c r="C111" s="2"/>
      <c r="D111" s="15"/>
      <c r="E111" s="7"/>
      <c r="F111" s="2"/>
      <c r="G111" s="2"/>
      <c r="H111" s="2"/>
      <c r="I111" s="4"/>
      <c r="J111" s="2"/>
      <c r="K111" s="2"/>
      <c r="L111" s="12"/>
      <c r="M111" s="6"/>
    </row>
    <row r="112" spans="1:13" s="8" customFormat="1" ht="45" customHeight="1" thickBot="1" x14ac:dyDescent="0.3">
      <c r="A112" s="3"/>
      <c r="B112" s="7"/>
      <c r="C112" s="2"/>
      <c r="D112" s="15"/>
      <c r="E112" s="7"/>
      <c r="F112" s="2"/>
      <c r="G112" s="2"/>
      <c r="H112" s="2"/>
      <c r="I112" s="4"/>
      <c r="J112" s="2"/>
      <c r="K112" s="2"/>
      <c r="L112" s="12"/>
      <c r="M112" s="6"/>
    </row>
    <row r="113" spans="1:13" s="8" customFormat="1" ht="45" customHeight="1" thickBot="1" x14ac:dyDescent="0.3">
      <c r="A113" s="3"/>
      <c r="B113" s="7"/>
      <c r="C113" s="2"/>
      <c r="D113" s="15"/>
      <c r="E113" s="2"/>
      <c r="F113" s="2"/>
      <c r="G113" s="2"/>
      <c r="H113" s="2"/>
      <c r="I113" s="4"/>
      <c r="J113" s="2"/>
      <c r="K113" s="2"/>
      <c r="L113" s="12"/>
      <c r="M113" s="6"/>
    </row>
    <row r="114" spans="1:13" s="8" customFormat="1" ht="45" customHeight="1" thickBot="1" x14ac:dyDescent="0.3">
      <c r="A114" s="3"/>
      <c r="B114" s="7"/>
      <c r="C114" s="2"/>
      <c r="D114" s="15"/>
      <c r="E114" s="2"/>
      <c r="F114" s="2"/>
      <c r="G114" s="2"/>
      <c r="H114" s="2"/>
      <c r="I114" s="4"/>
      <c r="J114" s="2"/>
      <c r="K114" s="2"/>
      <c r="L114" s="12"/>
      <c r="M114" s="6"/>
    </row>
    <row r="115" spans="1:13" s="8" customFormat="1" ht="45" customHeight="1" thickBot="1" x14ac:dyDescent="0.3">
      <c r="A115" s="3"/>
      <c r="B115" s="7"/>
      <c r="C115" s="2"/>
      <c r="D115" s="15"/>
      <c r="E115" s="2"/>
      <c r="F115" s="2"/>
      <c r="G115" s="2"/>
      <c r="H115" s="2"/>
      <c r="I115" s="4"/>
      <c r="J115" s="2"/>
      <c r="K115" s="2"/>
      <c r="L115" s="12"/>
      <c r="M115" s="6"/>
    </row>
    <row r="116" spans="1:13" s="8" customFormat="1" ht="45" customHeight="1" thickBot="1" x14ac:dyDescent="0.3">
      <c r="A116" s="3"/>
      <c r="B116" s="7"/>
      <c r="C116" s="2"/>
      <c r="D116" s="15"/>
      <c r="E116" s="2"/>
      <c r="F116" s="2"/>
      <c r="G116" s="2"/>
      <c r="H116" s="2"/>
      <c r="I116" s="4"/>
      <c r="J116" s="2"/>
      <c r="K116" s="2"/>
      <c r="L116" s="12"/>
      <c r="M116" s="6"/>
    </row>
    <row r="117" spans="1:13" s="8" customFormat="1" ht="45" customHeight="1" thickBot="1" x14ac:dyDescent="0.3">
      <c r="A117" s="3"/>
      <c r="B117" s="7"/>
      <c r="C117" s="2"/>
      <c r="D117" s="15"/>
      <c r="E117" s="2"/>
      <c r="F117" s="2"/>
      <c r="G117" s="2"/>
      <c r="H117" s="2"/>
      <c r="I117" s="4"/>
      <c r="J117" s="2"/>
      <c r="K117" s="2"/>
      <c r="L117" s="12"/>
      <c r="M117" s="6"/>
    </row>
    <row r="118" spans="1:13" s="8" customFormat="1" ht="45" customHeight="1" thickBot="1" x14ac:dyDescent="0.3">
      <c r="A118" s="3"/>
      <c r="B118" s="7"/>
      <c r="C118" s="2"/>
      <c r="D118" s="15"/>
      <c r="E118" s="2"/>
      <c r="F118" s="2"/>
      <c r="G118" s="2"/>
      <c r="H118" s="2"/>
      <c r="I118" s="4"/>
      <c r="J118" s="2"/>
      <c r="K118" s="2"/>
      <c r="L118" s="12"/>
      <c r="M118" s="6"/>
    </row>
    <row r="119" spans="1:13" s="8" customFormat="1" ht="45" customHeight="1" thickBot="1" x14ac:dyDescent="0.3">
      <c r="A119" s="3"/>
      <c r="B119" s="7"/>
      <c r="C119" s="2"/>
      <c r="D119" s="15"/>
      <c r="E119" s="2"/>
      <c r="F119" s="2"/>
      <c r="G119" s="2"/>
      <c r="H119" s="2"/>
      <c r="I119" s="4"/>
      <c r="J119" s="2"/>
      <c r="K119" s="2"/>
      <c r="L119" s="12"/>
      <c r="M119" s="6"/>
    </row>
    <row r="120" spans="1:13" s="8" customFormat="1" ht="45" customHeight="1" thickBot="1" x14ac:dyDescent="0.3">
      <c r="A120" s="3"/>
      <c r="B120" s="7"/>
      <c r="C120" s="2"/>
      <c r="D120" s="15"/>
      <c r="E120" s="2"/>
      <c r="F120" s="2"/>
      <c r="G120" s="2"/>
      <c r="H120" s="2"/>
      <c r="I120" s="4"/>
      <c r="J120" s="2"/>
      <c r="K120" s="2"/>
      <c r="L120" s="12"/>
      <c r="M120" s="6"/>
    </row>
    <row r="121" spans="1:13" s="8" customFormat="1" ht="45" customHeight="1" thickBot="1" x14ac:dyDescent="0.3">
      <c r="A121" s="3"/>
      <c r="B121" s="7"/>
      <c r="C121" s="2"/>
      <c r="D121" s="15"/>
      <c r="E121" s="2"/>
      <c r="F121" s="2"/>
      <c r="G121" s="2"/>
      <c r="H121" s="2"/>
      <c r="I121" s="4"/>
      <c r="J121" s="2"/>
      <c r="K121" s="2"/>
      <c r="L121" s="12"/>
      <c r="M121" s="6"/>
    </row>
    <row r="122" spans="1:13" s="8" customFormat="1" ht="45" customHeight="1" thickBot="1" x14ac:dyDescent="0.3">
      <c r="A122" s="3"/>
      <c r="B122" s="7"/>
      <c r="C122" s="2"/>
      <c r="D122" s="10"/>
      <c r="E122" s="2"/>
      <c r="F122" s="2"/>
      <c r="G122" s="2"/>
      <c r="H122" s="2"/>
      <c r="I122" s="4"/>
      <c r="J122" s="2"/>
      <c r="K122" s="2"/>
      <c r="L122" s="12"/>
      <c r="M122" s="6"/>
    </row>
    <row r="123" spans="1:13" s="8" customFormat="1" ht="45" customHeight="1" thickBot="1" x14ac:dyDescent="0.3">
      <c r="A123" s="3"/>
      <c r="B123" s="7"/>
      <c r="C123" s="2"/>
      <c r="D123" s="10"/>
      <c r="E123" s="2"/>
      <c r="F123" s="2"/>
      <c r="G123" s="2"/>
      <c r="H123" s="2"/>
      <c r="I123" s="4"/>
      <c r="J123" s="2"/>
      <c r="K123" s="2"/>
      <c r="L123" s="12"/>
      <c r="M123" s="6"/>
    </row>
    <row r="124" spans="1:13" s="8" customFormat="1" ht="45" customHeight="1" thickBot="1" x14ac:dyDescent="0.3">
      <c r="A124" s="3"/>
      <c r="B124" s="7"/>
      <c r="C124" s="2"/>
      <c r="D124" s="10"/>
      <c r="E124" s="2"/>
      <c r="F124" s="2"/>
      <c r="G124" s="2"/>
      <c r="H124" s="2"/>
      <c r="I124" s="4"/>
      <c r="J124" s="2"/>
      <c r="K124" s="2"/>
      <c r="L124" s="12"/>
      <c r="M124" s="6"/>
    </row>
    <row r="125" spans="1:13" s="8" customFormat="1" ht="45" customHeight="1" thickBot="1" x14ac:dyDescent="0.3">
      <c r="A125" s="3"/>
      <c r="B125" s="7"/>
      <c r="C125" s="2"/>
      <c r="D125" s="15"/>
      <c r="E125" s="2"/>
      <c r="F125" s="2"/>
      <c r="G125" s="2"/>
      <c r="H125" s="2"/>
      <c r="I125" s="4"/>
      <c r="J125" s="2"/>
      <c r="K125" s="2"/>
      <c r="L125" s="12"/>
      <c r="M125" s="6"/>
    </row>
    <row r="126" spans="1:13" s="8" customFormat="1" ht="45" customHeight="1" thickBot="1" x14ac:dyDescent="0.3">
      <c r="A126" s="3"/>
      <c r="B126" s="7"/>
      <c r="C126" s="2"/>
      <c r="D126" s="10"/>
      <c r="E126" s="2"/>
      <c r="F126" s="2"/>
      <c r="G126" s="2"/>
      <c r="H126" s="2"/>
      <c r="I126" s="4"/>
      <c r="J126" s="2"/>
      <c r="K126" s="2"/>
      <c r="L126" s="12"/>
      <c r="M126" s="6"/>
    </row>
    <row r="127" spans="1:13" s="8" customFormat="1" ht="45" customHeight="1" thickBot="1" x14ac:dyDescent="0.3">
      <c r="A127" s="3"/>
      <c r="B127" s="7"/>
      <c r="C127" s="2"/>
      <c r="D127" s="15"/>
      <c r="E127" s="2"/>
      <c r="F127" s="2"/>
      <c r="G127" s="2"/>
      <c r="H127" s="2"/>
      <c r="I127" s="4"/>
      <c r="J127" s="2"/>
      <c r="K127" s="2"/>
      <c r="L127" s="12"/>
      <c r="M127" s="6"/>
    </row>
    <row r="128" spans="1:13" s="8" customFormat="1" ht="45" customHeight="1" thickBot="1" x14ac:dyDescent="0.3">
      <c r="A128" s="3"/>
      <c r="B128" s="7"/>
      <c r="C128" s="2"/>
      <c r="D128" s="10"/>
      <c r="E128" s="2"/>
      <c r="F128" s="2"/>
      <c r="G128" s="2"/>
      <c r="H128" s="2"/>
      <c r="I128" s="4"/>
      <c r="J128" s="2"/>
      <c r="K128" s="2"/>
      <c r="L128" s="12"/>
      <c r="M128" s="6"/>
    </row>
    <row r="129" spans="1:13" s="8" customFormat="1" ht="45" customHeight="1" thickBot="1" x14ac:dyDescent="0.3">
      <c r="A129" s="3"/>
      <c r="B129" s="7"/>
      <c r="C129" s="2"/>
      <c r="D129" s="15"/>
      <c r="E129" s="2"/>
      <c r="F129" s="2"/>
      <c r="G129" s="2"/>
      <c r="H129" s="2"/>
      <c r="I129" s="4"/>
      <c r="J129" s="2"/>
      <c r="K129" s="2"/>
      <c r="L129" s="12"/>
      <c r="M129" s="6"/>
    </row>
    <row r="130" spans="1:13" s="8" customFormat="1" ht="45" customHeight="1" thickBot="1" x14ac:dyDescent="0.3">
      <c r="A130" s="3"/>
      <c r="B130" s="7"/>
      <c r="C130" s="2"/>
      <c r="D130" s="15"/>
      <c r="E130" s="2"/>
      <c r="F130" s="2"/>
      <c r="G130" s="2"/>
      <c r="H130" s="2"/>
      <c r="I130" s="4"/>
      <c r="J130" s="2"/>
      <c r="K130" s="2"/>
      <c r="L130" s="12"/>
      <c r="M130" s="6"/>
    </row>
    <row r="131" spans="1:13" s="8" customFormat="1" ht="45" customHeight="1" thickBot="1" x14ac:dyDescent="0.3">
      <c r="A131" s="3"/>
      <c r="B131" s="7"/>
      <c r="C131" s="2"/>
      <c r="D131" s="15"/>
      <c r="E131" s="2"/>
      <c r="F131" s="2"/>
      <c r="G131" s="2"/>
      <c r="H131" s="2"/>
      <c r="I131" s="4"/>
      <c r="J131" s="2"/>
      <c r="K131" s="2"/>
      <c r="L131" s="12"/>
      <c r="M131" s="6"/>
    </row>
    <row r="132" spans="1:13" s="8" customFormat="1" ht="45" customHeight="1" thickBot="1" x14ac:dyDescent="0.3">
      <c r="A132" s="3"/>
      <c r="B132" s="7"/>
      <c r="C132" s="2"/>
      <c r="D132" s="15"/>
      <c r="E132" s="2"/>
      <c r="F132" s="2"/>
      <c r="G132" s="2"/>
      <c r="H132" s="2"/>
      <c r="I132" s="4"/>
      <c r="J132" s="2"/>
      <c r="K132" s="2"/>
      <c r="L132" s="12"/>
      <c r="M132" s="6"/>
    </row>
    <row r="133" spans="1:13" s="8" customFormat="1" ht="45" customHeight="1" thickBot="1" x14ac:dyDescent="0.3">
      <c r="A133" s="3"/>
      <c r="B133" s="7"/>
      <c r="C133" s="2"/>
      <c r="D133" s="15"/>
      <c r="E133" s="2"/>
      <c r="F133" s="2"/>
      <c r="G133" s="2"/>
      <c r="H133" s="2"/>
      <c r="I133" s="4"/>
      <c r="J133" s="2"/>
      <c r="K133" s="2"/>
      <c r="L133" s="12"/>
      <c r="M133" s="6"/>
    </row>
    <row r="134" spans="1:13" s="8" customFormat="1" ht="45" customHeight="1" thickBot="1" x14ac:dyDescent="0.3">
      <c r="A134" s="3"/>
      <c r="B134" s="7"/>
      <c r="C134" s="2"/>
      <c r="D134" s="15"/>
      <c r="E134" s="2"/>
      <c r="F134" s="2"/>
      <c r="G134" s="2"/>
      <c r="H134" s="2"/>
      <c r="I134" s="4"/>
      <c r="J134" s="2"/>
      <c r="K134" s="2"/>
      <c r="L134" s="12"/>
      <c r="M134" s="6"/>
    </row>
    <row r="135" spans="1:13" s="8" customFormat="1" ht="45" customHeight="1" thickBot="1" x14ac:dyDescent="0.3">
      <c r="A135" s="3"/>
      <c r="B135" s="7"/>
      <c r="C135" s="2"/>
      <c r="D135" s="15"/>
      <c r="E135" s="2"/>
      <c r="F135" s="2"/>
      <c r="G135" s="2"/>
      <c r="H135" s="2"/>
      <c r="I135" s="4"/>
      <c r="J135" s="2"/>
      <c r="K135" s="2"/>
      <c r="L135" s="12"/>
      <c r="M135" s="6"/>
    </row>
    <row r="136" spans="1:13" s="8" customFormat="1" ht="45" customHeight="1" thickBot="1" x14ac:dyDescent="0.3">
      <c r="A136" s="3"/>
      <c r="B136" s="7"/>
      <c r="C136" s="2"/>
      <c r="D136" s="15"/>
      <c r="E136" s="2"/>
      <c r="F136" s="2"/>
      <c r="G136" s="2"/>
      <c r="H136" s="2"/>
      <c r="I136" s="4"/>
      <c r="J136" s="2"/>
      <c r="K136" s="2"/>
      <c r="L136" s="12"/>
      <c r="M136" s="6"/>
    </row>
    <row r="137" spans="1:13" s="8" customFormat="1" ht="45" customHeight="1" thickBot="1" x14ac:dyDescent="0.3">
      <c r="A137" s="3"/>
      <c r="B137" s="7"/>
      <c r="C137" s="2"/>
      <c r="D137" s="10"/>
      <c r="E137" s="2"/>
      <c r="F137" s="2"/>
      <c r="G137" s="2"/>
      <c r="H137" s="2"/>
      <c r="I137" s="4"/>
      <c r="J137" s="2"/>
      <c r="K137" s="2"/>
      <c r="L137" s="12"/>
      <c r="M137" s="6"/>
    </row>
    <row r="138" spans="1:13" s="8" customFormat="1" ht="45" customHeight="1" thickBot="1" x14ac:dyDescent="0.3">
      <c r="A138" s="3"/>
      <c r="B138" s="7"/>
      <c r="C138" s="2"/>
      <c r="D138" s="15"/>
      <c r="E138" s="2"/>
      <c r="F138" s="2"/>
      <c r="G138" s="2"/>
      <c r="H138" s="2"/>
      <c r="I138" s="4"/>
      <c r="J138" s="2"/>
      <c r="K138" s="2"/>
      <c r="L138" s="12"/>
      <c r="M138" s="6"/>
    </row>
    <row r="139" spans="1:13" s="8" customFormat="1" ht="45" customHeight="1" thickBot="1" x14ac:dyDescent="0.3">
      <c r="A139" s="3"/>
      <c r="B139" s="7"/>
      <c r="C139" s="2"/>
      <c r="D139" s="15"/>
      <c r="E139" s="2"/>
      <c r="F139" s="2"/>
      <c r="G139" s="2"/>
      <c r="H139" s="2"/>
      <c r="I139" s="4"/>
      <c r="J139" s="2"/>
      <c r="K139" s="2"/>
      <c r="L139" s="12"/>
      <c r="M139" s="6"/>
    </row>
    <row r="140" spans="1:13" s="8" customFormat="1" ht="45" customHeight="1" thickBot="1" x14ac:dyDescent="0.3">
      <c r="A140" s="3"/>
      <c r="B140" s="7"/>
      <c r="C140" s="2"/>
      <c r="D140" s="15"/>
      <c r="E140" s="2"/>
      <c r="F140" s="2"/>
      <c r="G140" s="2"/>
      <c r="H140" s="2"/>
      <c r="I140" s="4"/>
      <c r="J140" s="2"/>
      <c r="K140" s="2"/>
      <c r="L140" s="12"/>
      <c r="M140" s="6"/>
    </row>
    <row r="141" spans="1:13" s="8" customFormat="1" ht="45" customHeight="1" thickBot="1" x14ac:dyDescent="0.3">
      <c r="A141" s="3"/>
      <c r="B141" s="7"/>
      <c r="C141" s="2"/>
      <c r="D141" s="15"/>
      <c r="E141" s="2"/>
      <c r="F141" s="2"/>
      <c r="G141" s="2"/>
      <c r="H141" s="2"/>
      <c r="I141" s="4"/>
      <c r="J141" s="2"/>
      <c r="K141" s="2"/>
      <c r="L141" s="12"/>
      <c r="M141" s="6"/>
    </row>
    <row r="142" spans="1:13" s="8" customFormat="1" ht="45" customHeight="1" thickBot="1" x14ac:dyDescent="0.3">
      <c r="A142" s="3"/>
      <c r="B142" s="7"/>
      <c r="C142" s="2"/>
      <c r="D142" s="15"/>
      <c r="E142" s="2"/>
      <c r="F142" s="2"/>
      <c r="G142" s="2"/>
      <c r="H142" s="2"/>
      <c r="I142" s="4"/>
      <c r="J142" s="2"/>
      <c r="K142" s="2"/>
      <c r="L142" s="12"/>
      <c r="M142" s="6"/>
    </row>
    <row r="143" spans="1:13" s="8" customFormat="1" ht="45" customHeight="1" thickBot="1" x14ac:dyDescent="0.3">
      <c r="A143" s="3"/>
      <c r="B143" s="7"/>
      <c r="C143" s="2"/>
      <c r="D143" s="15"/>
      <c r="E143" s="2"/>
      <c r="F143" s="2"/>
      <c r="G143" s="2"/>
      <c r="H143" s="2"/>
      <c r="I143" s="4"/>
      <c r="J143" s="2"/>
      <c r="K143" s="2"/>
      <c r="L143" s="12"/>
      <c r="M143" s="6"/>
    </row>
    <row r="144" spans="1:13" s="8" customFormat="1" ht="45" customHeight="1" thickBot="1" x14ac:dyDescent="0.3">
      <c r="A144" s="3"/>
      <c r="B144" s="7"/>
      <c r="C144" s="2"/>
      <c r="D144" s="15"/>
      <c r="E144" s="2"/>
      <c r="F144" s="2"/>
      <c r="G144" s="2"/>
      <c r="H144" s="2"/>
      <c r="I144" s="4"/>
      <c r="J144" s="2"/>
      <c r="K144" s="2"/>
      <c r="L144" s="12"/>
      <c r="M144" s="6"/>
    </row>
    <row r="145" spans="1:13" s="8" customFormat="1" ht="45" customHeight="1" thickBot="1" x14ac:dyDescent="0.3">
      <c r="A145" s="3"/>
      <c r="B145" s="7"/>
      <c r="C145" s="2"/>
      <c r="D145" s="15"/>
      <c r="E145" s="2"/>
      <c r="F145" s="2"/>
      <c r="G145" s="2"/>
      <c r="H145" s="2"/>
      <c r="I145" s="4"/>
      <c r="J145" s="2"/>
      <c r="K145" s="2"/>
      <c r="L145" s="12"/>
      <c r="M145" s="6"/>
    </row>
    <row r="146" spans="1:13" s="8" customFormat="1" ht="45" customHeight="1" thickBot="1" x14ac:dyDescent="0.3">
      <c r="A146" s="3"/>
      <c r="B146" s="7"/>
      <c r="C146" s="2"/>
      <c r="D146" s="15"/>
      <c r="E146" s="2"/>
      <c r="F146" s="2"/>
      <c r="G146" s="2"/>
      <c r="H146" s="2"/>
      <c r="I146" s="4"/>
      <c r="J146" s="2"/>
      <c r="K146" s="2"/>
      <c r="L146" s="12"/>
      <c r="M146" s="6"/>
    </row>
    <row r="147" spans="1:13" s="8" customFormat="1" ht="45" customHeight="1" thickBot="1" x14ac:dyDescent="0.3">
      <c r="A147" s="3"/>
      <c r="B147" s="7"/>
      <c r="C147" s="10"/>
      <c r="D147" s="15"/>
      <c r="E147" s="2"/>
      <c r="F147" s="2"/>
      <c r="G147" s="2"/>
      <c r="H147" s="2"/>
      <c r="I147" s="4"/>
      <c r="J147" s="2"/>
      <c r="K147" s="2"/>
      <c r="L147" s="12"/>
      <c r="M147" s="6"/>
    </row>
    <row r="148" spans="1:13" s="8" customFormat="1" ht="45" customHeight="1" thickBot="1" x14ac:dyDescent="0.3">
      <c r="A148" s="3"/>
      <c r="B148" s="7"/>
      <c r="C148" s="10"/>
      <c r="D148" s="15"/>
      <c r="E148" s="2"/>
      <c r="F148" s="2"/>
      <c r="G148" s="2"/>
      <c r="H148" s="2"/>
      <c r="I148" s="4"/>
      <c r="J148" s="2"/>
      <c r="K148" s="2"/>
      <c r="L148" s="12"/>
      <c r="M148" s="6"/>
    </row>
    <row r="149" spans="1:13" s="8" customFormat="1" ht="45" customHeight="1" thickBot="1" x14ac:dyDescent="0.3">
      <c r="A149" s="3"/>
      <c r="B149" s="7"/>
      <c r="C149" s="2"/>
      <c r="D149" s="15"/>
      <c r="E149" s="2"/>
      <c r="F149" s="2"/>
      <c r="G149" s="2"/>
      <c r="H149" s="2"/>
      <c r="I149" s="4"/>
      <c r="J149" s="2"/>
      <c r="K149" s="2"/>
      <c r="L149" s="12"/>
      <c r="M149" s="6"/>
    </row>
    <row r="150" spans="1:13" s="8" customFormat="1" ht="45" customHeight="1" thickBot="1" x14ac:dyDescent="0.3">
      <c r="A150" s="3"/>
      <c r="B150" s="7"/>
      <c r="C150" s="2"/>
      <c r="D150" s="15"/>
      <c r="E150" s="2"/>
      <c r="F150" s="2"/>
      <c r="G150" s="2"/>
      <c r="H150" s="2"/>
      <c r="I150" s="4"/>
      <c r="J150" s="2"/>
      <c r="K150" s="2"/>
      <c r="L150" s="12"/>
      <c r="M150" s="6"/>
    </row>
    <row r="151" spans="1:13" s="8" customFormat="1" ht="45" customHeight="1" thickBot="1" x14ac:dyDescent="0.3">
      <c r="A151" s="3"/>
      <c r="B151" s="7"/>
      <c r="C151" s="2"/>
      <c r="D151" s="15"/>
      <c r="E151" s="2"/>
      <c r="F151" s="2"/>
      <c r="G151" s="2"/>
      <c r="H151" s="2"/>
      <c r="I151" s="4"/>
      <c r="J151" s="2"/>
      <c r="K151" s="2"/>
      <c r="L151" s="12"/>
      <c r="M151" s="6"/>
    </row>
    <row r="152" spans="1:13" s="8" customFormat="1" ht="45" customHeight="1" thickBot="1" x14ac:dyDescent="0.3">
      <c r="A152" s="3"/>
      <c r="B152" s="7"/>
      <c r="C152" s="2"/>
      <c r="D152" s="16"/>
      <c r="E152" s="2"/>
      <c r="F152" s="2"/>
      <c r="G152" s="2"/>
      <c r="H152" s="2"/>
      <c r="I152" s="4"/>
      <c r="J152" s="2"/>
      <c r="K152" s="2"/>
      <c r="L152" s="12"/>
      <c r="M152" s="6"/>
    </row>
    <row r="153" spans="1:13" s="8" customFormat="1" ht="45" customHeight="1" thickBot="1" x14ac:dyDescent="0.3">
      <c r="A153" s="3"/>
      <c r="B153" s="7"/>
      <c r="C153" s="2"/>
      <c r="D153" s="16"/>
      <c r="E153" s="2"/>
      <c r="F153" s="2"/>
      <c r="G153" s="2"/>
      <c r="H153" s="2"/>
      <c r="I153" s="4"/>
      <c r="J153" s="2"/>
      <c r="K153" s="2"/>
      <c r="L153" s="12"/>
      <c r="M153" s="6"/>
    </row>
    <row r="154" spans="1:13" s="8" customFormat="1" ht="45" customHeight="1" thickBot="1" x14ac:dyDescent="0.3">
      <c r="A154" s="3"/>
      <c r="B154" s="7"/>
      <c r="C154" s="2"/>
      <c r="D154" s="15"/>
      <c r="E154" s="2"/>
      <c r="F154" s="2"/>
      <c r="G154" s="2"/>
      <c r="H154" s="2"/>
      <c r="I154" s="4"/>
      <c r="J154" s="2"/>
      <c r="K154" s="2"/>
      <c r="L154" s="12"/>
      <c r="M154" s="6"/>
    </row>
    <row r="155" spans="1:13" s="8" customFormat="1" ht="45" customHeight="1" thickBot="1" x14ac:dyDescent="0.3">
      <c r="A155" s="3"/>
      <c r="B155" s="7"/>
      <c r="C155" s="2"/>
      <c r="D155" s="15"/>
      <c r="E155" s="2"/>
      <c r="F155" s="2"/>
      <c r="G155" s="2"/>
      <c r="H155" s="2"/>
      <c r="I155" s="4"/>
      <c r="J155" s="2"/>
      <c r="K155" s="2"/>
      <c r="L155" s="12"/>
      <c r="M155" s="6"/>
    </row>
    <row r="156" spans="1:13" s="8" customFormat="1" ht="45" customHeight="1" thickBot="1" x14ac:dyDescent="0.3">
      <c r="A156" s="3"/>
      <c r="B156" s="7"/>
      <c r="C156" s="2"/>
      <c r="D156" s="15"/>
      <c r="E156" s="2"/>
      <c r="F156" s="2"/>
      <c r="G156" s="2"/>
      <c r="H156" s="2"/>
      <c r="I156" s="4"/>
      <c r="J156" s="2"/>
      <c r="K156" s="2"/>
      <c r="L156" s="12"/>
      <c r="M156" s="6"/>
    </row>
    <row r="157" spans="1:13" s="8" customFormat="1" ht="45" customHeight="1" thickBot="1" x14ac:dyDescent="0.3">
      <c r="A157" s="3"/>
      <c r="B157" s="7"/>
      <c r="C157" s="2"/>
      <c r="D157" s="15"/>
      <c r="E157" s="2"/>
      <c r="F157" s="2"/>
      <c r="G157" s="2"/>
      <c r="H157" s="2"/>
      <c r="I157" s="4"/>
      <c r="J157" s="2"/>
      <c r="K157" s="2"/>
      <c r="L157" s="12"/>
      <c r="M157" s="6"/>
    </row>
    <row r="158" spans="1:13" s="8" customFormat="1" ht="45" customHeight="1" thickBot="1" x14ac:dyDescent="0.3">
      <c r="A158" s="3"/>
      <c r="B158" s="7"/>
      <c r="C158" s="2"/>
      <c r="D158" s="15"/>
      <c r="E158" s="2"/>
      <c r="F158" s="2"/>
      <c r="G158" s="2"/>
      <c r="H158" s="2"/>
      <c r="I158" s="4"/>
      <c r="J158" s="2"/>
      <c r="K158" s="2"/>
      <c r="L158" s="12"/>
      <c r="M158" s="6"/>
    </row>
    <row r="159" spans="1:13" s="8" customFormat="1" ht="45" customHeight="1" thickBot="1" x14ac:dyDescent="0.3">
      <c r="A159" s="3"/>
      <c r="B159" s="7"/>
      <c r="C159" s="2"/>
      <c r="D159" s="15"/>
      <c r="E159" s="2"/>
      <c r="F159" s="2"/>
      <c r="G159" s="2"/>
      <c r="H159" s="2"/>
      <c r="I159" s="4"/>
      <c r="J159" s="2"/>
      <c r="K159" s="2"/>
      <c r="L159" s="12"/>
      <c r="M159" s="6"/>
    </row>
    <row r="160" spans="1:13" s="8" customFormat="1" ht="45" customHeight="1" thickBot="1" x14ac:dyDescent="0.3">
      <c r="A160" s="3"/>
      <c r="B160" s="7"/>
      <c r="C160" s="2"/>
      <c r="D160" s="10"/>
      <c r="E160" s="2"/>
      <c r="F160" s="2"/>
      <c r="G160" s="2"/>
      <c r="H160" s="2"/>
      <c r="I160" s="4"/>
      <c r="J160" s="2"/>
      <c r="K160" s="2"/>
      <c r="L160" s="12"/>
      <c r="M160" s="6"/>
    </row>
    <row r="161" spans="1:13" s="8" customFormat="1" ht="45" customHeight="1" thickBot="1" x14ac:dyDescent="0.3">
      <c r="A161" s="3"/>
      <c r="B161" s="7"/>
      <c r="C161" s="2"/>
      <c r="D161" s="15"/>
      <c r="E161" s="2"/>
      <c r="F161" s="2"/>
      <c r="G161" s="2"/>
      <c r="H161" s="2"/>
      <c r="I161" s="4"/>
      <c r="J161" s="2"/>
      <c r="K161" s="2"/>
      <c r="L161" s="12"/>
      <c r="M161" s="6"/>
    </row>
    <row r="162" spans="1:13" s="8" customFormat="1" ht="45" customHeight="1" thickBot="1" x14ac:dyDescent="0.3">
      <c r="A162" s="3"/>
      <c r="B162" s="7"/>
      <c r="C162" s="2"/>
      <c r="D162" s="15"/>
      <c r="E162" s="2"/>
      <c r="F162" s="2"/>
      <c r="G162" s="2"/>
      <c r="H162" s="2"/>
      <c r="I162" s="4"/>
      <c r="J162" s="2"/>
      <c r="K162" s="2"/>
      <c r="L162" s="12"/>
      <c r="M162" s="6"/>
    </row>
    <row r="163" spans="1:13" s="8" customFormat="1" ht="45" customHeight="1" thickBot="1" x14ac:dyDescent="0.3">
      <c r="A163" s="3"/>
      <c r="B163" s="7"/>
      <c r="C163" s="2"/>
      <c r="D163" s="15"/>
      <c r="E163" s="2"/>
      <c r="F163" s="2"/>
      <c r="G163" s="2"/>
      <c r="H163" s="2"/>
      <c r="I163" s="4"/>
      <c r="J163" s="2"/>
      <c r="K163" s="2"/>
      <c r="L163" s="12"/>
      <c r="M163" s="6"/>
    </row>
    <row r="164" spans="1:13" s="8" customFormat="1" ht="45" customHeight="1" thickBot="1" x14ac:dyDescent="0.3">
      <c r="A164" s="3"/>
      <c r="B164" s="7"/>
      <c r="C164" s="2"/>
      <c r="D164" s="15"/>
      <c r="E164" s="2"/>
      <c r="F164" s="2"/>
      <c r="G164" s="2"/>
      <c r="H164" s="2"/>
      <c r="I164" s="4"/>
      <c r="J164" s="2"/>
      <c r="K164" s="2"/>
      <c r="L164" s="12"/>
      <c r="M164" s="6"/>
    </row>
    <row r="165" spans="1:13" s="8" customFormat="1" ht="45" customHeight="1" thickBot="1" x14ac:dyDescent="0.3">
      <c r="A165" s="3"/>
      <c r="B165" s="7"/>
      <c r="C165" s="2"/>
      <c r="D165" s="15"/>
      <c r="E165" s="2"/>
      <c r="F165" s="2"/>
      <c r="G165" s="2"/>
      <c r="H165" s="2"/>
      <c r="I165" s="4"/>
      <c r="J165" s="2"/>
      <c r="K165" s="2"/>
      <c r="L165" s="12"/>
      <c r="M165" s="6"/>
    </row>
    <row r="166" spans="1:13" s="8" customFormat="1" ht="45" customHeight="1" thickBot="1" x14ac:dyDescent="0.3">
      <c r="A166" s="3"/>
      <c r="B166" s="7"/>
      <c r="C166" s="2"/>
      <c r="D166" s="15"/>
      <c r="E166" s="2"/>
      <c r="F166" s="2"/>
      <c r="G166" s="2"/>
      <c r="H166" s="2"/>
      <c r="I166" s="4"/>
      <c r="J166" s="2"/>
      <c r="K166" s="2"/>
      <c r="L166" s="12"/>
      <c r="M166" s="6"/>
    </row>
    <row r="167" spans="1:13" s="8" customFormat="1" ht="45" customHeight="1" thickBot="1" x14ac:dyDescent="0.3">
      <c r="A167" s="3"/>
      <c r="B167" s="7"/>
      <c r="C167" s="2"/>
      <c r="D167" s="15"/>
      <c r="E167" s="2"/>
      <c r="F167" s="2"/>
      <c r="G167" s="2"/>
      <c r="H167" s="2"/>
      <c r="I167" s="4"/>
      <c r="J167" s="2"/>
      <c r="K167" s="2"/>
      <c r="L167" s="12"/>
      <c r="M167" s="6"/>
    </row>
    <row r="168" spans="1:13" s="8" customFormat="1" ht="45" customHeight="1" thickBot="1" x14ac:dyDescent="0.3">
      <c r="A168" s="3"/>
      <c r="B168" s="7"/>
      <c r="C168" s="2"/>
      <c r="D168" s="16"/>
      <c r="E168" s="2"/>
      <c r="F168" s="2"/>
      <c r="G168" s="2"/>
      <c r="H168" s="2"/>
      <c r="I168" s="4"/>
      <c r="J168" s="2"/>
      <c r="K168" s="2"/>
      <c r="L168" s="12"/>
      <c r="M168" s="6"/>
    </row>
    <row r="169" spans="1:13" s="8" customFormat="1" ht="45" customHeight="1" thickBot="1" x14ac:dyDescent="0.3">
      <c r="A169" s="3"/>
      <c r="B169" s="7"/>
      <c r="C169" s="2"/>
      <c r="D169" s="16"/>
      <c r="E169" s="2"/>
      <c r="F169" s="2"/>
      <c r="G169" s="2"/>
      <c r="H169" s="2"/>
      <c r="I169" s="4"/>
      <c r="J169" s="2"/>
      <c r="K169" s="2"/>
      <c r="L169" s="12"/>
      <c r="M169" s="6"/>
    </row>
    <row r="170" spans="1:13" s="8" customFormat="1" ht="45" customHeight="1" thickBot="1" x14ac:dyDescent="0.3">
      <c r="A170" s="3"/>
      <c r="B170" s="7"/>
      <c r="C170" s="2"/>
      <c r="D170" s="15"/>
      <c r="E170" s="2"/>
      <c r="F170" s="2"/>
      <c r="G170" s="2"/>
      <c r="H170" s="2"/>
      <c r="I170" s="4"/>
      <c r="J170" s="2"/>
      <c r="K170" s="2"/>
      <c r="L170" s="12"/>
      <c r="M170" s="6"/>
    </row>
    <row r="171" spans="1:13" s="8" customFormat="1" ht="45" customHeight="1" thickBot="1" x14ac:dyDescent="0.3">
      <c r="A171" s="3"/>
      <c r="B171" s="7"/>
      <c r="C171" s="2"/>
      <c r="D171" s="15"/>
      <c r="E171" s="2"/>
      <c r="F171" s="2"/>
      <c r="G171" s="2"/>
      <c r="H171" s="2"/>
      <c r="I171" s="4"/>
      <c r="J171" s="2"/>
      <c r="K171" s="2"/>
      <c r="L171" s="12"/>
      <c r="M171" s="6"/>
    </row>
    <row r="172" spans="1:13" s="8" customFormat="1" ht="45" customHeight="1" thickBot="1" x14ac:dyDescent="0.3">
      <c r="A172" s="3"/>
      <c r="B172" s="7"/>
      <c r="C172" s="2"/>
      <c r="D172" s="15"/>
      <c r="E172" s="2"/>
      <c r="F172" s="2"/>
      <c r="G172" s="2"/>
      <c r="H172" s="2"/>
      <c r="I172" s="4"/>
      <c r="J172" s="2"/>
      <c r="K172" s="2"/>
      <c r="L172" s="12"/>
      <c r="M172" s="6"/>
    </row>
    <row r="173" spans="1:13" s="8" customFormat="1" ht="45" customHeight="1" thickBot="1" x14ac:dyDescent="0.3">
      <c r="A173" s="3"/>
      <c r="B173" s="7"/>
      <c r="C173" s="2"/>
      <c r="D173" s="15"/>
      <c r="E173" s="2"/>
      <c r="F173" s="2"/>
      <c r="G173" s="2"/>
      <c r="H173" s="2"/>
      <c r="I173" s="4"/>
      <c r="J173" s="2"/>
      <c r="K173" s="2"/>
      <c r="L173" s="12"/>
      <c r="M173" s="6"/>
    </row>
    <row r="174" spans="1:13" s="8" customFormat="1" ht="45" customHeight="1" thickBot="1" x14ac:dyDescent="0.3">
      <c r="A174" s="3"/>
      <c r="B174" s="7"/>
      <c r="C174" s="2"/>
      <c r="D174" s="15"/>
      <c r="E174" s="2"/>
      <c r="F174" s="2"/>
      <c r="G174" s="2"/>
      <c r="H174" s="2"/>
      <c r="I174" s="4"/>
      <c r="J174" s="2"/>
      <c r="K174" s="2"/>
      <c r="L174" s="12"/>
      <c r="M174" s="6"/>
    </row>
    <row r="175" spans="1:13" s="8" customFormat="1" ht="45" customHeight="1" thickBot="1" x14ac:dyDescent="0.3">
      <c r="A175" s="3"/>
      <c r="B175" s="7"/>
      <c r="C175" s="2"/>
      <c r="D175" s="15"/>
      <c r="E175" s="2"/>
      <c r="F175" s="2"/>
      <c r="G175" s="2"/>
      <c r="H175" s="2"/>
      <c r="I175" s="4"/>
      <c r="J175" s="2"/>
      <c r="K175" s="2"/>
      <c r="L175" s="12"/>
      <c r="M175" s="6"/>
    </row>
    <row r="176" spans="1:13" s="8" customFormat="1" ht="45" customHeight="1" thickBot="1" x14ac:dyDescent="0.3">
      <c r="A176" s="3"/>
      <c r="B176" s="7"/>
      <c r="C176" s="2"/>
      <c r="D176" s="15"/>
      <c r="E176" s="2"/>
      <c r="F176" s="2"/>
      <c r="G176" s="2"/>
      <c r="H176" s="2"/>
      <c r="I176" s="4"/>
      <c r="J176" s="2"/>
      <c r="K176" s="2"/>
      <c r="L176" s="12"/>
      <c r="M176" s="6"/>
    </row>
    <row r="177" spans="1:13" s="8" customFormat="1" ht="45" customHeight="1" thickBot="1" x14ac:dyDescent="0.3">
      <c r="A177" s="3"/>
      <c r="B177" s="7"/>
      <c r="C177" s="2"/>
      <c r="D177" s="15"/>
      <c r="E177" s="2"/>
      <c r="F177" s="2"/>
      <c r="G177" s="2"/>
      <c r="H177" s="2"/>
      <c r="I177" s="4"/>
      <c r="J177" s="2"/>
      <c r="K177" s="2"/>
      <c r="L177" s="12"/>
      <c r="M177" s="6"/>
    </row>
    <row r="178" spans="1:13" s="8" customFormat="1" ht="45" customHeight="1" thickBot="1" x14ac:dyDescent="0.3">
      <c r="A178" s="3"/>
      <c r="B178" s="7"/>
      <c r="C178" s="2"/>
      <c r="D178" s="15"/>
      <c r="E178" s="2"/>
      <c r="F178" s="2"/>
      <c r="G178" s="2"/>
      <c r="H178" s="2"/>
      <c r="I178" s="4"/>
      <c r="J178" s="2"/>
      <c r="K178" s="2"/>
      <c r="L178" s="12"/>
      <c r="M178" s="6"/>
    </row>
    <row r="179" spans="1:13" s="8" customFormat="1" ht="45" customHeight="1" thickBot="1" x14ac:dyDescent="0.3">
      <c r="A179" s="3"/>
      <c r="B179" s="7"/>
      <c r="C179" s="2"/>
      <c r="D179" s="15"/>
      <c r="E179" s="2"/>
      <c r="F179" s="2"/>
      <c r="G179" s="2"/>
      <c r="H179" s="2"/>
      <c r="I179" s="4"/>
      <c r="J179" s="2"/>
      <c r="K179" s="2"/>
      <c r="L179" s="12"/>
      <c r="M179" s="6"/>
    </row>
    <row r="180" spans="1:13" s="8" customFormat="1" ht="45" customHeight="1" thickBot="1" x14ac:dyDescent="0.3">
      <c r="A180" s="3"/>
      <c r="B180" s="7"/>
      <c r="C180" s="2"/>
      <c r="D180" s="15"/>
      <c r="E180" s="2"/>
      <c r="F180" s="2"/>
      <c r="G180" s="2"/>
      <c r="H180" s="2"/>
      <c r="I180" s="4"/>
      <c r="J180" s="2"/>
      <c r="K180" s="2"/>
      <c r="L180" s="12"/>
      <c r="M180" s="6"/>
    </row>
    <row r="181" spans="1:13" s="8" customFormat="1" ht="45" customHeight="1" thickBot="1" x14ac:dyDescent="0.3">
      <c r="A181" s="3"/>
      <c r="B181" s="7"/>
      <c r="C181" s="2"/>
      <c r="D181" s="15"/>
      <c r="E181" s="2"/>
      <c r="F181" s="2"/>
      <c r="G181" s="2"/>
      <c r="H181" s="2"/>
      <c r="I181" s="4"/>
      <c r="J181" s="2"/>
      <c r="K181" s="2"/>
      <c r="L181" s="12"/>
      <c r="M181" s="6"/>
    </row>
    <row r="182" spans="1:13" s="8" customFormat="1" ht="45" customHeight="1" thickBot="1" x14ac:dyDescent="0.3">
      <c r="A182" s="3"/>
      <c r="B182" s="7"/>
      <c r="C182" s="2"/>
      <c r="D182" s="10"/>
      <c r="E182" s="2"/>
      <c r="F182" s="2"/>
      <c r="G182" s="2"/>
      <c r="H182" s="2"/>
      <c r="I182" s="4"/>
      <c r="J182" s="2"/>
      <c r="K182" s="2"/>
      <c r="L182" s="12"/>
      <c r="M182" s="6"/>
    </row>
    <row r="183" spans="1:13" s="8" customFormat="1" ht="45" customHeight="1" thickBot="1" x14ac:dyDescent="0.3">
      <c r="A183" s="3"/>
      <c r="B183" s="7"/>
      <c r="C183" s="2"/>
      <c r="D183" s="15"/>
      <c r="E183" s="2"/>
      <c r="F183" s="2"/>
      <c r="G183" s="2"/>
      <c r="H183" s="2"/>
      <c r="I183" s="4"/>
      <c r="J183" s="2"/>
      <c r="K183" s="2"/>
      <c r="L183" s="12"/>
      <c r="M183" s="6"/>
    </row>
    <row r="184" spans="1:13" s="8" customFormat="1" ht="45" customHeight="1" thickBot="1" x14ac:dyDescent="0.3">
      <c r="A184" s="3"/>
      <c r="B184" s="7"/>
      <c r="C184" s="2"/>
      <c r="D184" s="15"/>
      <c r="E184" s="2"/>
      <c r="F184" s="2"/>
      <c r="G184" s="2"/>
      <c r="H184" s="2"/>
      <c r="I184" s="4"/>
      <c r="J184" s="2"/>
      <c r="K184" s="2"/>
      <c r="L184" s="12"/>
      <c r="M184" s="6"/>
    </row>
    <row r="185" spans="1:13" s="8" customFormat="1" ht="45" customHeight="1" thickBot="1" x14ac:dyDescent="0.3">
      <c r="A185" s="3"/>
      <c r="B185" s="7"/>
      <c r="C185" s="2"/>
      <c r="D185" s="15"/>
      <c r="E185" s="2"/>
      <c r="F185" s="2"/>
      <c r="G185" s="2"/>
      <c r="H185" s="2"/>
      <c r="I185" s="4"/>
      <c r="J185" s="2"/>
      <c r="K185" s="2"/>
      <c r="L185" s="12"/>
      <c r="M185" s="6"/>
    </row>
    <row r="186" spans="1:13" s="8" customFormat="1" ht="45" customHeight="1" thickBot="1" x14ac:dyDescent="0.3">
      <c r="A186" s="3"/>
      <c r="B186" s="7"/>
      <c r="C186" s="2"/>
      <c r="D186" s="15"/>
      <c r="E186" s="2"/>
      <c r="F186" s="2"/>
      <c r="G186" s="2"/>
      <c r="H186" s="2"/>
      <c r="I186" s="4"/>
      <c r="J186" s="2"/>
      <c r="K186" s="2"/>
      <c r="L186" s="12"/>
      <c r="M186" s="6"/>
    </row>
    <row r="187" spans="1:13" s="8" customFormat="1" ht="45" customHeight="1" thickBot="1" x14ac:dyDescent="0.3">
      <c r="A187" s="3"/>
      <c r="B187" s="7"/>
      <c r="C187" s="2"/>
      <c r="D187" s="15"/>
      <c r="E187" s="2"/>
      <c r="F187" s="2"/>
      <c r="G187" s="2"/>
      <c r="H187" s="2"/>
      <c r="I187" s="4"/>
      <c r="J187" s="2"/>
      <c r="K187" s="2"/>
      <c r="L187" s="12"/>
      <c r="M187" s="6"/>
    </row>
    <row r="188" spans="1:13" s="8" customFormat="1" ht="45" customHeight="1" thickBot="1" x14ac:dyDescent="0.3">
      <c r="A188" s="3"/>
      <c r="B188" s="7"/>
      <c r="C188" s="2"/>
      <c r="D188" s="15"/>
      <c r="E188" s="2"/>
      <c r="F188" s="2"/>
      <c r="G188" s="2"/>
      <c r="H188" s="2"/>
      <c r="I188" s="4"/>
      <c r="J188" s="2"/>
      <c r="K188" s="2"/>
      <c r="L188" s="12"/>
      <c r="M188" s="6"/>
    </row>
    <row r="189" spans="1:13" s="8" customFormat="1" ht="45" customHeight="1" thickBot="1" x14ac:dyDescent="0.3">
      <c r="A189" s="3"/>
      <c r="B189" s="7"/>
      <c r="C189" s="2"/>
      <c r="D189" s="15"/>
      <c r="E189" s="2"/>
      <c r="F189" s="2"/>
      <c r="G189" s="2"/>
      <c r="H189" s="2"/>
      <c r="I189" s="4"/>
      <c r="J189" s="2"/>
      <c r="K189" s="2"/>
      <c r="L189" s="12"/>
      <c r="M189" s="6"/>
    </row>
    <row r="190" spans="1:13" s="8" customFormat="1" ht="45" customHeight="1" thickBot="1" x14ac:dyDescent="0.3">
      <c r="A190" s="3"/>
      <c r="B190" s="7"/>
      <c r="C190" s="2"/>
      <c r="D190" s="2"/>
      <c r="E190" s="2"/>
      <c r="F190" s="2"/>
      <c r="G190" s="2"/>
      <c r="H190" s="2"/>
      <c r="I190" s="4"/>
      <c r="J190" s="2"/>
      <c r="K190" s="2"/>
      <c r="L190" s="12"/>
      <c r="M190" s="6"/>
    </row>
    <row r="191" spans="1:13" s="8" customFormat="1" ht="45" customHeight="1" thickBot="1" x14ac:dyDescent="0.3">
      <c r="A191" s="3"/>
      <c r="B191" s="7"/>
      <c r="C191" s="2"/>
      <c r="D191" s="15"/>
      <c r="E191" s="2"/>
      <c r="F191" s="2"/>
      <c r="G191" s="2"/>
      <c r="H191" s="2"/>
      <c r="I191" s="4"/>
      <c r="J191" s="2"/>
      <c r="K191" s="2"/>
      <c r="L191" s="12"/>
      <c r="M191" s="6"/>
    </row>
    <row r="192" spans="1:13" s="8" customFormat="1" ht="45" customHeight="1" thickBot="1" x14ac:dyDescent="0.3">
      <c r="A192" s="3"/>
      <c r="B192" s="7"/>
      <c r="C192" s="2"/>
      <c r="D192" s="15"/>
      <c r="E192" s="2"/>
      <c r="F192" s="2"/>
      <c r="G192" s="2"/>
      <c r="H192" s="2"/>
      <c r="I192" s="4"/>
      <c r="J192" s="2"/>
      <c r="K192" s="2"/>
      <c r="L192" s="12"/>
      <c r="M192" s="6"/>
    </row>
    <row r="193" spans="1:13" s="8" customFormat="1" ht="45" customHeight="1" thickBot="1" x14ac:dyDescent="0.3">
      <c r="A193" s="3"/>
      <c r="B193" s="7"/>
      <c r="C193" s="2"/>
      <c r="D193" s="15"/>
      <c r="E193" s="2"/>
      <c r="F193" s="2"/>
      <c r="G193" s="2"/>
      <c r="H193" s="2"/>
      <c r="I193" s="4"/>
      <c r="J193" s="2"/>
      <c r="K193" s="2"/>
      <c r="L193" s="12"/>
      <c r="M193" s="6"/>
    </row>
    <row r="194" spans="1:13" s="8" customFormat="1" ht="45" customHeight="1" thickBot="1" x14ac:dyDescent="0.3">
      <c r="A194" s="3"/>
      <c r="B194" s="7"/>
      <c r="C194" s="2"/>
      <c r="D194" s="15"/>
      <c r="E194" s="2"/>
      <c r="F194" s="2"/>
      <c r="G194" s="2"/>
      <c r="H194" s="2"/>
      <c r="I194" s="4"/>
      <c r="J194" s="2"/>
      <c r="K194" s="2"/>
      <c r="L194" s="12"/>
      <c r="M194" s="6"/>
    </row>
    <row r="195" spans="1:13" s="8" customFormat="1" ht="45" customHeight="1" thickBot="1" x14ac:dyDescent="0.3">
      <c r="A195" s="3"/>
      <c r="B195" s="7"/>
      <c r="C195" s="2"/>
      <c r="D195" s="15"/>
      <c r="E195" s="2"/>
      <c r="F195" s="2"/>
      <c r="G195" s="2"/>
      <c r="H195" s="2"/>
      <c r="I195" s="4"/>
      <c r="J195" s="2"/>
      <c r="K195" s="2"/>
      <c r="L195" s="12"/>
      <c r="M195" s="6"/>
    </row>
    <row r="196" spans="1:13" s="8" customFormat="1" ht="45" customHeight="1" thickBot="1" x14ac:dyDescent="0.3">
      <c r="A196" s="3"/>
      <c r="B196" s="7"/>
      <c r="C196" s="2"/>
      <c r="D196" s="15"/>
      <c r="E196" s="2"/>
      <c r="F196" s="2"/>
      <c r="G196" s="2"/>
      <c r="H196" s="2"/>
      <c r="I196" s="4"/>
      <c r="J196" s="2"/>
      <c r="K196" s="2"/>
      <c r="L196" s="12"/>
      <c r="M196" s="6"/>
    </row>
    <row r="197" spans="1:13" s="8" customFormat="1" ht="45" customHeight="1" thickBot="1" x14ac:dyDescent="0.3">
      <c r="A197" s="3"/>
      <c r="B197" s="7"/>
      <c r="C197" s="2"/>
      <c r="D197" s="15"/>
      <c r="E197" s="2"/>
      <c r="F197" s="2"/>
      <c r="G197" s="2"/>
      <c r="H197" s="2"/>
      <c r="I197" s="4"/>
      <c r="J197" s="2"/>
      <c r="K197" s="2"/>
      <c r="L197" s="12"/>
      <c r="M197" s="6"/>
    </row>
    <row r="198" spans="1:13" s="8" customFormat="1" ht="45" customHeight="1" thickBot="1" x14ac:dyDescent="0.3">
      <c r="A198" s="3"/>
      <c r="B198" s="7"/>
      <c r="C198" s="2"/>
      <c r="D198" s="15"/>
      <c r="E198" s="2"/>
      <c r="F198" s="2"/>
      <c r="G198" s="2"/>
      <c r="H198" s="2"/>
      <c r="I198" s="4"/>
      <c r="J198" s="2"/>
      <c r="K198" s="2"/>
      <c r="L198" s="12"/>
      <c r="M198" s="6"/>
    </row>
    <row r="199" spans="1:13" s="8" customFormat="1" ht="45" customHeight="1" thickBot="1" x14ac:dyDescent="0.3">
      <c r="A199" s="3"/>
      <c r="B199" s="7"/>
      <c r="C199" s="2"/>
      <c r="D199" s="15"/>
      <c r="E199" s="2"/>
      <c r="F199" s="2"/>
      <c r="G199" s="2"/>
      <c r="H199" s="2"/>
      <c r="I199" s="4"/>
      <c r="J199" s="2"/>
      <c r="K199" s="2"/>
      <c r="L199" s="12"/>
      <c r="M199" s="6"/>
    </row>
    <row r="200" spans="1:13" s="8" customFormat="1" ht="45" customHeight="1" thickBot="1" x14ac:dyDescent="0.3">
      <c r="A200" s="3"/>
      <c r="B200" s="7"/>
      <c r="C200" s="2"/>
      <c r="D200" s="15"/>
      <c r="E200" s="2"/>
      <c r="F200" s="2"/>
      <c r="G200" s="2"/>
      <c r="H200" s="2"/>
      <c r="I200" s="4"/>
      <c r="J200" s="2"/>
      <c r="K200" s="2"/>
      <c r="L200" s="12"/>
      <c r="M200" s="6"/>
    </row>
    <row r="201" spans="1:13" s="8" customFormat="1" ht="45" customHeight="1" thickBot="1" x14ac:dyDescent="0.3">
      <c r="A201" s="3"/>
      <c r="B201" s="7"/>
      <c r="C201" s="2"/>
      <c r="D201" s="15"/>
      <c r="E201" s="2"/>
      <c r="F201" s="2"/>
      <c r="G201" s="2"/>
      <c r="H201" s="2"/>
      <c r="I201" s="4"/>
      <c r="J201" s="2"/>
      <c r="K201" s="2"/>
      <c r="L201" s="12"/>
      <c r="M201" s="6"/>
    </row>
    <row r="202" spans="1:13" s="8" customFormat="1" ht="45" customHeight="1" thickBot="1" x14ac:dyDescent="0.3">
      <c r="A202" s="3"/>
      <c r="B202" s="7"/>
      <c r="C202" s="2"/>
      <c r="D202" s="15"/>
      <c r="E202" s="2"/>
      <c r="F202" s="2"/>
      <c r="G202" s="2"/>
      <c r="H202" s="2"/>
      <c r="I202" s="4"/>
      <c r="J202" s="2"/>
      <c r="K202" s="2"/>
      <c r="L202" s="12"/>
      <c r="M202" s="6"/>
    </row>
    <row r="203" spans="1:13" s="8" customFormat="1" ht="45" customHeight="1" thickBot="1" x14ac:dyDescent="0.3">
      <c r="A203" s="3"/>
      <c r="B203" s="7"/>
      <c r="C203" s="2"/>
      <c r="D203" s="15"/>
      <c r="E203" s="2"/>
      <c r="F203" s="2"/>
      <c r="G203" s="2"/>
      <c r="H203" s="2"/>
      <c r="I203" s="4"/>
      <c r="J203" s="2"/>
      <c r="K203" s="2"/>
      <c r="L203" s="12"/>
      <c r="M203" s="6"/>
    </row>
    <row r="204" spans="1:13" s="8" customFormat="1" ht="45" customHeight="1" thickBot="1" x14ac:dyDescent="0.3">
      <c r="A204" s="3"/>
      <c r="B204" s="7"/>
      <c r="C204" s="2"/>
      <c r="D204" s="10"/>
      <c r="E204" s="7"/>
      <c r="F204" s="2"/>
      <c r="G204" s="2"/>
      <c r="H204" s="2"/>
      <c r="I204" s="4"/>
      <c r="J204" s="2"/>
      <c r="K204" s="2"/>
      <c r="L204" s="12"/>
      <c r="M204" s="6"/>
    </row>
    <row r="205" spans="1:13" s="8" customFormat="1" ht="45" customHeight="1" thickBot="1" x14ac:dyDescent="0.3">
      <c r="A205" s="3"/>
      <c r="B205" s="7"/>
      <c r="C205" s="4"/>
      <c r="D205" s="10"/>
      <c r="E205" s="7"/>
      <c r="F205" s="2"/>
      <c r="G205" s="2"/>
      <c r="H205" s="2"/>
      <c r="I205" s="4"/>
      <c r="J205" s="2"/>
      <c r="K205" s="2"/>
      <c r="L205" s="12"/>
      <c r="M205" s="6"/>
    </row>
    <row r="206" spans="1:13" s="8" customFormat="1" ht="45" customHeight="1" thickBot="1" x14ac:dyDescent="0.3">
      <c r="A206" s="3"/>
      <c r="B206" s="7"/>
      <c r="C206" s="7"/>
      <c r="D206" s="15"/>
      <c r="E206" s="7"/>
      <c r="F206" s="2"/>
      <c r="G206" s="2"/>
      <c r="H206" s="2"/>
      <c r="I206" s="4"/>
      <c r="J206" s="2"/>
      <c r="K206" s="2"/>
      <c r="L206" s="12"/>
      <c r="M206" s="6"/>
    </row>
    <row r="207" spans="1:13" s="8" customFormat="1" ht="45" customHeight="1" thickBot="1" x14ac:dyDescent="0.3">
      <c r="A207" s="3"/>
      <c r="B207" s="7"/>
      <c r="C207" s="7"/>
      <c r="D207" s="15"/>
      <c r="E207" s="7"/>
      <c r="F207" s="2"/>
      <c r="G207" s="2"/>
      <c r="H207" s="2"/>
      <c r="I207" s="4"/>
      <c r="J207" s="2"/>
      <c r="K207" s="2"/>
      <c r="L207" s="12"/>
      <c r="M207" s="6"/>
    </row>
    <row r="208" spans="1:13" s="8" customFormat="1" ht="45" customHeight="1" thickBot="1" x14ac:dyDescent="0.3">
      <c r="A208" s="3"/>
      <c r="B208" s="7"/>
      <c r="C208" s="7"/>
      <c r="D208" s="15"/>
      <c r="E208" s="7"/>
      <c r="F208" s="2"/>
      <c r="G208" s="2"/>
      <c r="H208" s="2"/>
      <c r="I208" s="4"/>
      <c r="J208" s="2"/>
      <c r="K208" s="2"/>
      <c r="L208" s="12"/>
      <c r="M208" s="6"/>
    </row>
    <row r="209" spans="1:13" s="8" customFormat="1" ht="45" customHeight="1" thickBot="1" x14ac:dyDescent="0.3">
      <c r="A209" s="3"/>
      <c r="B209" s="7"/>
      <c r="C209" s="7"/>
      <c r="D209" s="15"/>
      <c r="E209" s="7"/>
      <c r="F209" s="2"/>
      <c r="G209" s="2"/>
      <c r="H209" s="2"/>
      <c r="I209" s="4"/>
      <c r="J209" s="2"/>
      <c r="K209" s="2"/>
      <c r="L209" s="12"/>
      <c r="M209" s="6"/>
    </row>
    <row r="210" spans="1:13" s="8" customFormat="1" ht="45" customHeight="1" thickBot="1" x14ac:dyDescent="0.3">
      <c r="A210" s="3"/>
      <c r="B210" s="7"/>
      <c r="C210" s="7"/>
      <c r="D210" s="15"/>
      <c r="E210" s="7"/>
      <c r="F210" s="2"/>
      <c r="G210" s="2"/>
      <c r="H210" s="2"/>
      <c r="I210" s="4"/>
      <c r="J210" s="2"/>
      <c r="K210" s="2"/>
      <c r="L210" s="12"/>
      <c r="M210" s="6"/>
    </row>
    <row r="211" spans="1:13" s="8" customFormat="1" ht="45" customHeight="1" thickBot="1" x14ac:dyDescent="0.3">
      <c r="A211" s="3"/>
      <c r="B211" s="7"/>
      <c r="C211" s="7"/>
      <c r="D211" s="15"/>
      <c r="E211" s="7"/>
      <c r="F211" s="2"/>
      <c r="G211" s="2"/>
      <c r="H211" s="2"/>
      <c r="I211" s="4"/>
      <c r="J211" s="2"/>
      <c r="K211" s="2"/>
      <c r="L211" s="12"/>
      <c r="M211" s="6"/>
    </row>
    <row r="212" spans="1:13" s="8" customFormat="1" ht="45" customHeight="1" thickBot="1" x14ac:dyDescent="0.3">
      <c r="A212" s="3"/>
      <c r="B212" s="7"/>
      <c r="C212" s="7"/>
      <c r="D212" s="16"/>
      <c r="E212" s="7"/>
      <c r="F212" s="2"/>
      <c r="G212" s="2"/>
      <c r="H212" s="2"/>
      <c r="I212" s="4"/>
      <c r="J212" s="2"/>
      <c r="K212" s="2"/>
      <c r="L212" s="12"/>
      <c r="M212" s="6"/>
    </row>
    <row r="213" spans="1:13" s="8" customFormat="1" ht="45" customHeight="1" thickBot="1" x14ac:dyDescent="0.3">
      <c r="A213" s="3"/>
      <c r="B213" s="7"/>
      <c r="C213" s="4"/>
      <c r="D213" s="13"/>
      <c r="E213" s="7"/>
      <c r="F213" s="2"/>
      <c r="G213" s="2"/>
      <c r="H213" s="7"/>
      <c r="I213" s="4"/>
      <c r="J213" s="2"/>
      <c r="K213" s="2"/>
      <c r="L213" s="12"/>
      <c r="M213" s="6"/>
    </row>
    <row r="214" spans="1:13" s="8" customFormat="1" ht="45" customHeight="1" thickBot="1" x14ac:dyDescent="0.3">
      <c r="A214" s="3"/>
      <c r="B214" s="7"/>
      <c r="C214" s="4"/>
      <c r="D214" s="13"/>
      <c r="E214" s="7"/>
      <c r="F214" s="2"/>
      <c r="G214" s="2"/>
      <c r="H214" s="7"/>
      <c r="I214" s="4"/>
      <c r="J214" s="2"/>
      <c r="K214" s="2"/>
      <c r="L214" s="12"/>
      <c r="M214" s="6"/>
    </row>
    <row r="215" spans="1:13" s="8" customFormat="1" ht="45" customHeight="1" thickBot="1" x14ac:dyDescent="0.3">
      <c r="A215" s="3"/>
      <c r="B215" s="7"/>
      <c r="C215" s="4"/>
      <c r="D215" s="13"/>
      <c r="E215" s="7"/>
      <c r="F215" s="2"/>
      <c r="G215" s="2"/>
      <c r="H215" s="7"/>
      <c r="I215" s="4"/>
      <c r="J215" s="2"/>
      <c r="K215" s="2"/>
      <c r="L215" s="12"/>
      <c r="M215" s="6"/>
    </row>
    <row r="216" spans="1:13" s="8" customFormat="1" ht="45" customHeight="1" thickBot="1" x14ac:dyDescent="0.3">
      <c r="A216" s="3"/>
      <c r="B216" s="7"/>
      <c r="C216" s="7"/>
      <c r="D216" s="15"/>
      <c r="E216" s="7"/>
      <c r="F216" s="2"/>
      <c r="G216" s="2"/>
      <c r="H216" s="2"/>
      <c r="I216" s="4"/>
      <c r="J216" s="2"/>
      <c r="K216" s="2"/>
      <c r="L216" s="12"/>
      <c r="M216" s="6"/>
    </row>
    <row r="217" spans="1:13" s="8" customFormat="1" ht="45" customHeight="1" thickBot="1" x14ac:dyDescent="0.3">
      <c r="A217" s="3"/>
      <c r="B217" s="7"/>
      <c r="C217" s="7"/>
      <c r="D217" s="16"/>
      <c r="E217" s="7"/>
      <c r="F217" s="2"/>
      <c r="G217" s="2"/>
      <c r="H217" s="2"/>
      <c r="I217" s="4"/>
      <c r="J217" s="2"/>
      <c r="K217" s="2"/>
      <c r="L217" s="12"/>
      <c r="M217" s="6"/>
    </row>
    <row r="218" spans="1:13" ht="45" customHeight="1" thickBot="1" x14ac:dyDescent="0.3">
      <c r="A218" s="3"/>
      <c r="B218" s="7"/>
      <c r="C218" s="7"/>
      <c r="D218" s="2"/>
      <c r="E218" s="7"/>
      <c r="F218" s="2"/>
      <c r="G218" s="2"/>
      <c r="H218" s="7"/>
      <c r="I218" s="4"/>
      <c r="J218" s="4"/>
      <c r="K218" s="4"/>
      <c r="L218" s="11"/>
      <c r="M218" s="5"/>
    </row>
    <row r="219" spans="1:13" ht="45" customHeight="1" thickBot="1" x14ac:dyDescent="0.3">
      <c r="A219" s="3"/>
      <c r="B219" s="7"/>
      <c r="C219" s="7"/>
      <c r="D219" s="2"/>
      <c r="E219" s="7"/>
      <c r="F219" s="2"/>
      <c r="G219" s="2"/>
      <c r="H219" s="7"/>
      <c r="I219" s="4"/>
      <c r="J219" s="4"/>
      <c r="K219" s="4"/>
      <c r="L219" s="11"/>
      <c r="M219" s="5"/>
    </row>
    <row r="220" spans="1:13" ht="45" customHeight="1" thickBot="1" x14ac:dyDescent="0.3">
      <c r="A220" s="3"/>
      <c r="B220" s="7"/>
      <c r="C220" s="7"/>
      <c r="D220" s="2"/>
      <c r="E220" s="7"/>
      <c r="F220" s="2"/>
      <c r="G220" s="2"/>
      <c r="H220" s="7"/>
      <c r="I220" s="4"/>
      <c r="J220" s="4"/>
      <c r="K220" s="4"/>
      <c r="L220" s="11"/>
      <c r="M220" s="5"/>
    </row>
    <row r="221" spans="1:13" ht="45" customHeight="1" thickBot="1" x14ac:dyDescent="0.3">
      <c r="A221" s="3"/>
      <c r="B221" s="7"/>
      <c r="C221" s="7"/>
      <c r="D221" s="2"/>
      <c r="E221" s="7"/>
      <c r="F221" s="2"/>
      <c r="G221" s="2"/>
      <c r="H221" s="7"/>
      <c r="I221" s="4"/>
      <c r="J221" s="4"/>
      <c r="K221" s="4"/>
      <c r="L221" s="11"/>
      <c r="M221" s="5"/>
    </row>
    <row r="222" spans="1:13" ht="45" customHeight="1" thickBot="1" x14ac:dyDescent="0.3">
      <c r="A222" s="3"/>
      <c r="B222" s="7"/>
      <c r="C222" s="7"/>
      <c r="D222" s="2"/>
      <c r="E222" s="7"/>
      <c r="F222" s="2"/>
      <c r="G222" s="2"/>
      <c r="H222" s="7"/>
      <c r="I222" s="4"/>
      <c r="J222" s="4"/>
      <c r="K222" s="4"/>
      <c r="L222" s="11"/>
      <c r="M222" s="5"/>
    </row>
    <row r="223" spans="1:13" ht="45" customHeight="1" thickBot="1" x14ac:dyDescent="0.3">
      <c r="A223" s="3"/>
      <c r="B223" s="7"/>
      <c r="C223" s="7"/>
      <c r="D223" s="2"/>
      <c r="E223" s="7"/>
      <c r="F223" s="2"/>
      <c r="G223" s="2"/>
      <c r="H223" s="7"/>
      <c r="I223" s="4"/>
      <c r="J223" s="4"/>
      <c r="K223" s="4"/>
      <c r="L223" s="11"/>
      <c r="M223" s="5"/>
    </row>
    <row r="224" spans="1:13" s="8" customFormat="1" ht="45" customHeight="1" thickBot="1" x14ac:dyDescent="0.3">
      <c r="A224" s="3"/>
      <c r="B224" s="7"/>
      <c r="C224" s="4"/>
      <c r="D224" s="10"/>
      <c r="E224" s="7"/>
      <c r="F224" s="2"/>
      <c r="G224" s="2"/>
      <c r="H224" s="7"/>
      <c r="I224" s="4"/>
      <c r="J224" s="2"/>
      <c r="K224" s="2"/>
      <c r="L224" s="12"/>
      <c r="M224" s="6"/>
    </row>
    <row r="225" spans="1:13" s="8" customFormat="1" ht="45" customHeight="1" thickBot="1" x14ac:dyDescent="0.3">
      <c r="A225" s="3"/>
      <c r="B225" s="7"/>
      <c r="C225" s="4"/>
      <c r="D225" s="10"/>
      <c r="E225" s="7"/>
      <c r="F225" s="2"/>
      <c r="G225" s="2"/>
      <c r="H225" s="7"/>
      <c r="I225" s="4"/>
      <c r="J225" s="2"/>
      <c r="K225" s="2"/>
      <c r="L225" s="12"/>
      <c r="M225" s="6"/>
    </row>
    <row r="226" spans="1:13" s="8" customFormat="1" ht="45" customHeight="1" thickBot="1" x14ac:dyDescent="0.3">
      <c r="A226" s="3"/>
      <c r="B226" s="7"/>
      <c r="C226" s="4"/>
      <c r="D226" s="15"/>
      <c r="E226" s="7"/>
      <c r="F226" s="2"/>
      <c r="G226" s="2"/>
      <c r="H226" s="7"/>
      <c r="I226" s="4"/>
      <c r="J226" s="2"/>
      <c r="K226" s="2"/>
      <c r="L226" s="12"/>
      <c r="M226" s="27"/>
    </row>
    <row r="227" spans="1:13" s="8" customFormat="1" ht="45" customHeight="1" thickBot="1" x14ac:dyDescent="0.3">
      <c r="A227" s="3"/>
      <c r="B227" s="7"/>
      <c r="C227" s="4"/>
      <c r="D227" s="2"/>
      <c r="E227" s="7"/>
      <c r="F227" s="2"/>
      <c r="G227" s="2"/>
      <c r="H227" s="7"/>
      <c r="I227" s="4"/>
      <c r="J227" s="2"/>
      <c r="K227" s="2"/>
      <c r="L227" s="12"/>
      <c r="M227" s="6"/>
    </row>
    <row r="228" spans="1:13" s="8" customFormat="1" ht="45" customHeight="1" thickBot="1" x14ac:dyDescent="0.3">
      <c r="A228" s="3"/>
      <c r="B228" s="7"/>
      <c r="C228" s="4"/>
      <c r="D228" s="2"/>
      <c r="E228" s="7"/>
      <c r="F228" s="2"/>
      <c r="G228" s="2"/>
      <c r="H228" s="7"/>
      <c r="I228" s="4"/>
      <c r="J228" s="2"/>
      <c r="K228" s="2"/>
      <c r="L228" s="12"/>
      <c r="M228" s="6"/>
    </row>
    <row r="229" spans="1:13" s="8" customFormat="1" ht="45" customHeight="1" thickBot="1" x14ac:dyDescent="0.3">
      <c r="A229" s="3"/>
      <c r="B229" s="7"/>
      <c r="C229" s="4"/>
      <c r="D229" s="2"/>
      <c r="E229" s="7"/>
      <c r="F229" s="2"/>
      <c r="G229" s="2"/>
      <c r="H229" s="7"/>
      <c r="I229" s="4"/>
      <c r="J229" s="2"/>
      <c r="K229" s="2"/>
      <c r="L229" s="12"/>
      <c r="M229" s="6"/>
    </row>
    <row r="230" spans="1:13" ht="45" customHeight="1" thickBot="1" x14ac:dyDescent="0.3">
      <c r="A230" s="3"/>
      <c r="B230" s="7"/>
      <c r="C230" s="7"/>
      <c r="D230" s="2"/>
      <c r="E230" s="7"/>
      <c r="F230" s="7"/>
      <c r="G230" s="7"/>
      <c r="H230" s="7"/>
      <c r="I230" s="4"/>
      <c r="J230" s="4"/>
      <c r="K230" s="4"/>
      <c r="L230" s="11"/>
      <c r="M230" s="5"/>
    </row>
    <row r="231" spans="1:13" ht="45" customHeight="1" thickBot="1" x14ac:dyDescent="0.3">
      <c r="A231" s="3"/>
      <c r="B231" s="7"/>
      <c r="C231" s="7"/>
      <c r="D231" s="2"/>
      <c r="E231" s="7"/>
      <c r="F231" s="7"/>
      <c r="G231" s="7"/>
      <c r="H231" s="7"/>
      <c r="I231" s="4"/>
      <c r="J231" s="4"/>
      <c r="K231" s="4"/>
      <c r="L231" s="11"/>
      <c r="M231" s="5"/>
    </row>
    <row r="232" spans="1:13" ht="45" customHeight="1" thickBot="1" x14ac:dyDescent="0.3">
      <c r="A232" s="3"/>
      <c r="B232" s="7"/>
      <c r="C232" s="7"/>
      <c r="D232" s="2"/>
      <c r="E232" s="7"/>
      <c r="F232" s="7"/>
      <c r="G232" s="7"/>
      <c r="H232" s="7"/>
      <c r="I232" s="4"/>
      <c r="J232" s="4"/>
      <c r="K232" s="4"/>
      <c r="L232" s="11"/>
      <c r="M232" s="5"/>
    </row>
    <row r="233" spans="1:13" ht="45" customHeight="1" thickBot="1" x14ac:dyDescent="0.3">
      <c r="A233" s="3"/>
      <c r="B233" s="7"/>
      <c r="C233" s="7"/>
      <c r="D233" s="2"/>
      <c r="E233" s="7"/>
      <c r="F233" s="7"/>
      <c r="G233" s="7"/>
      <c r="H233" s="7"/>
      <c r="I233" s="4"/>
      <c r="J233" s="4"/>
      <c r="K233" s="4"/>
      <c r="L233" s="11"/>
      <c r="M233" s="5"/>
    </row>
    <row r="234" spans="1:13" ht="45" customHeight="1" thickBot="1" x14ac:dyDescent="0.3">
      <c r="A234" s="3"/>
      <c r="B234" s="7"/>
      <c r="C234" s="7"/>
      <c r="D234" s="2"/>
      <c r="E234" s="7"/>
      <c r="F234" s="7"/>
      <c r="G234" s="7"/>
      <c r="H234" s="7"/>
      <c r="I234" s="4"/>
      <c r="J234" s="4"/>
      <c r="K234" s="4"/>
      <c r="L234" s="11"/>
      <c r="M234" s="5"/>
    </row>
    <row r="235" spans="1:13" s="8" customFormat="1" ht="45" customHeight="1" thickBot="1" x14ac:dyDescent="0.3">
      <c r="A235" s="3"/>
      <c r="B235" s="7"/>
      <c r="C235" s="7"/>
      <c r="D235" s="10"/>
      <c r="E235" s="7"/>
      <c r="F235" s="7"/>
      <c r="G235" s="7"/>
      <c r="H235" s="7"/>
      <c r="I235" s="4"/>
      <c r="J235" s="4"/>
      <c r="K235" s="2"/>
      <c r="L235" s="12"/>
      <c r="M235" s="27"/>
    </row>
    <row r="236" spans="1:13" s="8" customFormat="1" ht="45" customHeight="1" thickBot="1" x14ac:dyDescent="0.3">
      <c r="A236" s="3"/>
      <c r="B236" s="7"/>
      <c r="C236" s="7"/>
      <c r="D236" s="10"/>
      <c r="E236" s="7"/>
      <c r="F236" s="7"/>
      <c r="G236" s="7"/>
      <c r="H236" s="7"/>
      <c r="I236" s="4"/>
      <c r="J236" s="4"/>
      <c r="K236" s="2"/>
      <c r="L236" s="12"/>
      <c r="M236" s="27"/>
    </row>
    <row r="237" spans="1:13" s="8" customFormat="1" ht="45" customHeight="1" thickBot="1" x14ac:dyDescent="0.3">
      <c r="A237" s="3"/>
      <c r="B237" s="7"/>
      <c r="C237" s="7"/>
      <c r="D237" s="10"/>
      <c r="E237" s="7"/>
      <c r="F237" s="7"/>
      <c r="G237" s="7"/>
      <c r="H237" s="7"/>
      <c r="I237" s="4"/>
      <c r="J237" s="4"/>
      <c r="K237" s="2"/>
      <c r="L237" s="12"/>
      <c r="M237" s="27"/>
    </row>
    <row r="238" spans="1:13" s="8" customFormat="1" ht="45" customHeight="1" thickBot="1" x14ac:dyDescent="0.3">
      <c r="A238" s="3"/>
      <c r="B238" s="7"/>
      <c r="C238" s="7"/>
      <c r="D238" s="10"/>
      <c r="E238" s="7"/>
      <c r="F238" s="7"/>
      <c r="G238" s="7"/>
      <c r="H238" s="7"/>
      <c r="I238" s="4"/>
      <c r="J238" s="4"/>
      <c r="K238" s="2"/>
      <c r="L238" s="12"/>
      <c r="M238" s="27"/>
    </row>
    <row r="239" spans="1:13" ht="45" customHeight="1" thickBot="1" x14ac:dyDescent="0.3">
      <c r="A239" s="3"/>
      <c r="B239" s="7"/>
      <c r="C239" s="7"/>
      <c r="D239" s="2"/>
      <c r="E239" s="7"/>
      <c r="F239" s="7"/>
      <c r="G239" s="7"/>
      <c r="H239" s="7"/>
      <c r="I239" s="4"/>
      <c r="J239" s="4"/>
      <c r="K239" s="4"/>
      <c r="L239" s="11"/>
      <c r="M239" s="5"/>
    </row>
    <row r="240" spans="1:13" s="8" customFormat="1" ht="45" customHeight="1" thickBot="1" x14ac:dyDescent="0.3">
      <c r="A240" s="3"/>
      <c r="B240" s="7"/>
      <c r="C240" s="2"/>
      <c r="D240" s="10"/>
      <c r="E240" s="7"/>
      <c r="F240" s="7"/>
      <c r="G240" s="7"/>
      <c r="H240" s="4"/>
      <c r="I240" s="4"/>
      <c r="J240" s="2"/>
      <c r="K240" s="2"/>
      <c r="L240" s="12"/>
      <c r="M240" s="6"/>
    </row>
    <row r="241" spans="1:13" s="8" customFormat="1" ht="45" customHeight="1" thickBot="1" x14ac:dyDescent="0.3">
      <c r="A241" s="3"/>
      <c r="B241" s="7"/>
      <c r="C241" s="2"/>
      <c r="D241" s="10"/>
      <c r="E241" s="7"/>
      <c r="F241" s="7"/>
      <c r="G241" s="7"/>
      <c r="H241" s="4"/>
      <c r="I241" s="4"/>
      <c r="J241" s="2"/>
      <c r="K241" s="2"/>
      <c r="L241" s="12"/>
      <c r="M241" s="6"/>
    </row>
    <row r="242" spans="1:13" s="8" customFormat="1" ht="45" customHeight="1" thickBot="1" x14ac:dyDescent="0.3">
      <c r="A242" s="3"/>
      <c r="B242" s="7"/>
      <c r="C242" s="2"/>
      <c r="D242" s="10"/>
      <c r="E242" s="7"/>
      <c r="F242" s="7"/>
      <c r="G242" s="7"/>
      <c r="H242" s="4"/>
      <c r="I242" s="4"/>
      <c r="J242" s="2"/>
      <c r="K242" s="2"/>
      <c r="L242" s="12"/>
      <c r="M242" s="6"/>
    </row>
    <row r="243" spans="1:13" s="8" customFormat="1" ht="45" customHeight="1" thickBot="1" x14ac:dyDescent="0.3">
      <c r="A243" s="3"/>
      <c r="B243" s="7"/>
      <c r="C243" s="2"/>
      <c r="D243" s="10"/>
      <c r="E243" s="7"/>
      <c r="F243" s="7"/>
      <c r="G243" s="7"/>
      <c r="H243" s="4"/>
      <c r="I243" s="4"/>
      <c r="J243" s="2"/>
      <c r="K243" s="2"/>
      <c r="L243" s="12"/>
      <c r="M243" s="6"/>
    </row>
    <row r="244" spans="1:13" s="8" customFormat="1" ht="45" customHeight="1" thickBot="1" x14ac:dyDescent="0.3">
      <c r="A244" s="3"/>
      <c r="B244" s="7"/>
      <c r="C244" s="2"/>
      <c r="D244" s="10"/>
      <c r="E244" s="7"/>
      <c r="F244" s="7"/>
      <c r="G244" s="7"/>
      <c r="H244" s="4"/>
      <c r="I244" s="4"/>
      <c r="J244" s="2"/>
      <c r="K244" s="2"/>
      <c r="L244" s="12"/>
      <c r="M244" s="6"/>
    </row>
    <row r="245" spans="1:13" s="8" customFormat="1" ht="45" customHeight="1" thickBot="1" x14ac:dyDescent="0.3">
      <c r="A245" s="3"/>
      <c r="B245" s="7"/>
      <c r="C245" s="2"/>
      <c r="D245" s="10"/>
      <c r="E245" s="7"/>
      <c r="F245" s="2"/>
      <c r="G245" s="2"/>
      <c r="H245" s="7"/>
      <c r="I245" s="4"/>
      <c r="J245" s="2"/>
      <c r="K245" s="2"/>
      <c r="L245" s="12"/>
      <c r="M245" s="6"/>
    </row>
    <row r="246" spans="1:13" s="8" customFormat="1" ht="45" customHeight="1" thickBot="1" x14ac:dyDescent="0.3">
      <c r="A246" s="3"/>
      <c r="B246" s="7"/>
      <c r="C246" s="2"/>
      <c r="D246" s="10"/>
      <c r="E246" s="7"/>
      <c r="F246" s="2"/>
      <c r="G246" s="2"/>
      <c r="H246" s="7"/>
      <c r="I246" s="4"/>
      <c r="J246" s="2"/>
      <c r="K246" s="2"/>
      <c r="L246" s="12"/>
      <c r="M246" s="6"/>
    </row>
    <row r="247" spans="1:13" s="8" customFormat="1" ht="45" customHeight="1" thickBot="1" x14ac:dyDescent="0.3">
      <c r="A247" s="3"/>
      <c r="B247" s="7"/>
      <c r="C247" s="2"/>
      <c r="D247" s="10"/>
      <c r="E247" s="7"/>
      <c r="F247" s="2"/>
      <c r="G247" s="2"/>
      <c r="H247" s="7"/>
      <c r="I247" s="4"/>
      <c r="J247" s="2"/>
      <c r="K247" s="2"/>
      <c r="L247" s="12"/>
      <c r="M247" s="27"/>
    </row>
    <row r="248" spans="1:13" s="8" customFormat="1" ht="45" customHeight="1" thickBot="1" x14ac:dyDescent="0.3">
      <c r="A248" s="3"/>
      <c r="B248" s="7"/>
      <c r="C248" s="10"/>
      <c r="D248" s="10"/>
      <c r="E248" s="7"/>
      <c r="F248" s="2"/>
      <c r="G248" s="2"/>
      <c r="H248" s="7"/>
      <c r="I248" s="4"/>
      <c r="J248" s="2"/>
      <c r="K248" s="2"/>
      <c r="L248" s="12"/>
      <c r="M248" s="6"/>
    </row>
    <row r="249" spans="1:13" s="8" customFormat="1" ht="45" customHeight="1" thickBot="1" x14ac:dyDescent="0.3">
      <c r="A249" s="3"/>
      <c r="B249" s="7"/>
      <c r="C249" s="10"/>
      <c r="D249" s="2"/>
      <c r="E249" s="7"/>
      <c r="F249" s="2"/>
      <c r="G249" s="2"/>
      <c r="H249" s="7"/>
      <c r="I249" s="4"/>
      <c r="J249" s="2"/>
      <c r="K249" s="2"/>
      <c r="L249" s="12"/>
      <c r="M249" s="6"/>
    </row>
    <row r="250" spans="1:13" s="8" customFormat="1" ht="45" customHeight="1" thickBot="1" x14ac:dyDescent="0.3">
      <c r="A250" s="3"/>
      <c r="B250" s="7"/>
      <c r="C250" s="10"/>
      <c r="D250" s="10"/>
      <c r="E250" s="7"/>
      <c r="F250" s="2"/>
      <c r="G250" s="2"/>
      <c r="H250" s="7"/>
      <c r="I250" s="4"/>
      <c r="J250" s="2"/>
      <c r="K250" s="2"/>
      <c r="L250" s="12"/>
      <c r="M250" s="6"/>
    </row>
    <row r="251" spans="1:13" s="8" customFormat="1" ht="45" customHeight="1" thickBot="1" x14ac:dyDescent="0.3">
      <c r="A251" s="3"/>
      <c r="B251" s="7"/>
      <c r="C251" s="4"/>
      <c r="D251" s="13"/>
      <c r="E251" s="7"/>
      <c r="F251" s="2"/>
      <c r="G251" s="2"/>
      <c r="H251" s="7"/>
      <c r="I251" s="4"/>
      <c r="J251" s="2"/>
      <c r="K251" s="2"/>
      <c r="L251" s="12"/>
      <c r="M251" s="6"/>
    </row>
    <row r="252" spans="1:13" s="8" customFormat="1" ht="45" customHeight="1" thickBot="1" x14ac:dyDescent="0.3">
      <c r="A252" s="3"/>
      <c r="B252" s="7"/>
      <c r="C252" s="4"/>
      <c r="D252" s="13"/>
      <c r="E252" s="7"/>
      <c r="F252" s="2"/>
      <c r="G252" s="2"/>
      <c r="H252" s="7"/>
      <c r="I252" s="4"/>
      <c r="J252" s="2"/>
      <c r="K252" s="2"/>
      <c r="L252" s="12"/>
      <c r="M252" s="6"/>
    </row>
    <row r="253" spans="1:13" s="8" customFormat="1" ht="45" customHeight="1" thickBot="1" x14ac:dyDescent="0.3">
      <c r="A253" s="3"/>
      <c r="B253" s="7"/>
      <c r="C253" s="4"/>
      <c r="D253" s="2"/>
      <c r="E253" s="7"/>
      <c r="F253" s="2"/>
      <c r="G253" s="2"/>
      <c r="H253" s="4"/>
      <c r="I253" s="4"/>
      <c r="J253" s="2"/>
      <c r="K253" s="2"/>
      <c r="L253" s="12"/>
      <c r="M253" s="6"/>
    </row>
    <row r="254" spans="1:13" s="8" customFormat="1" ht="45" customHeight="1" thickBot="1" x14ac:dyDescent="0.3">
      <c r="A254" s="3"/>
      <c r="B254" s="7"/>
      <c r="C254" s="4"/>
      <c r="D254" s="10"/>
      <c r="E254" s="7"/>
      <c r="F254" s="2"/>
      <c r="G254" s="2"/>
      <c r="H254" s="4"/>
      <c r="I254" s="4"/>
      <c r="J254" s="2"/>
      <c r="K254" s="2"/>
      <c r="L254" s="12"/>
      <c r="M254" s="6"/>
    </row>
    <row r="255" spans="1:13" ht="45" customHeight="1" thickBot="1" x14ac:dyDescent="0.3">
      <c r="A255" s="3"/>
      <c r="B255" s="7"/>
      <c r="C255" s="7"/>
      <c r="D255" s="2"/>
      <c r="E255" s="7"/>
      <c r="F255" s="7"/>
      <c r="G255" s="7"/>
      <c r="H255" s="7"/>
      <c r="I255" s="4"/>
      <c r="J255" s="4"/>
      <c r="K255" s="4"/>
      <c r="L255" s="11"/>
      <c r="M255" s="5"/>
    </row>
    <row r="256" spans="1:13" s="8" customFormat="1" ht="45" customHeight="1" thickBot="1" x14ac:dyDescent="0.3">
      <c r="A256" s="3"/>
      <c r="B256" s="7"/>
      <c r="C256" s="4"/>
      <c r="D256" s="2"/>
      <c r="E256" s="7"/>
      <c r="F256" s="2"/>
      <c r="G256" s="2"/>
      <c r="H256" s="7"/>
      <c r="I256" s="4"/>
      <c r="J256" s="2"/>
      <c r="K256" s="2"/>
      <c r="L256" s="12"/>
      <c r="M256" s="6"/>
    </row>
    <row r="257" spans="1:13" ht="45" customHeight="1" thickBot="1" x14ac:dyDescent="0.3">
      <c r="A257" s="3"/>
      <c r="B257" s="7"/>
      <c r="C257" s="4"/>
      <c r="D257" s="2"/>
      <c r="E257" s="7"/>
      <c r="F257" s="2"/>
      <c r="G257" s="2"/>
      <c r="H257" s="7"/>
      <c r="I257" s="4"/>
      <c r="J257" s="4"/>
      <c r="K257" s="4"/>
      <c r="L257" s="11"/>
      <c r="M257" s="5"/>
    </row>
    <row r="258" spans="1:13" ht="45" customHeight="1" thickBot="1" x14ac:dyDescent="0.3">
      <c r="A258" s="3"/>
      <c r="B258" s="7"/>
      <c r="C258" s="4"/>
      <c r="D258" s="2"/>
      <c r="E258" s="7"/>
      <c r="F258" s="2"/>
      <c r="G258" s="2"/>
      <c r="H258" s="7"/>
      <c r="I258" s="4"/>
      <c r="J258" s="4"/>
      <c r="K258" s="4"/>
      <c r="L258" s="11"/>
      <c r="M258" s="5"/>
    </row>
    <row r="259" spans="1:13" ht="45" customHeight="1" thickBot="1" x14ac:dyDescent="0.3">
      <c r="A259" s="3"/>
      <c r="B259" s="7"/>
      <c r="C259" s="4"/>
      <c r="D259" s="2"/>
      <c r="E259" s="7"/>
      <c r="F259" s="2"/>
      <c r="G259" s="2"/>
      <c r="H259" s="7"/>
      <c r="I259" s="4"/>
      <c r="J259" s="4"/>
      <c r="K259" s="4"/>
      <c r="L259" s="11"/>
      <c r="M259" s="5"/>
    </row>
    <row r="260" spans="1:13" ht="45" customHeight="1" thickBot="1" x14ac:dyDescent="0.3">
      <c r="A260" s="3"/>
      <c r="B260" s="7"/>
      <c r="C260" s="4"/>
      <c r="D260" s="2"/>
      <c r="E260" s="7"/>
      <c r="F260" s="2"/>
      <c r="G260" s="2"/>
      <c r="H260" s="7"/>
      <c r="I260" s="4"/>
      <c r="J260" s="4"/>
      <c r="K260" s="4"/>
      <c r="L260" s="11"/>
      <c r="M260" s="5"/>
    </row>
    <row r="261" spans="1:13" ht="45" customHeight="1" thickBot="1" x14ac:dyDescent="0.3">
      <c r="A261" s="3"/>
      <c r="B261" s="7"/>
      <c r="C261" s="4"/>
      <c r="D261" s="2"/>
      <c r="E261" s="7"/>
      <c r="F261" s="2"/>
      <c r="G261" s="2"/>
      <c r="H261" s="7"/>
      <c r="I261" s="4"/>
      <c r="J261" s="4"/>
      <c r="K261" s="4"/>
      <c r="L261" s="11"/>
      <c r="M261" s="5"/>
    </row>
    <row r="262" spans="1:13" ht="45" customHeight="1" thickBot="1" x14ac:dyDescent="0.3">
      <c r="A262" s="3"/>
      <c r="B262" s="7"/>
      <c r="C262" s="4"/>
      <c r="D262" s="2"/>
      <c r="E262" s="7"/>
      <c r="F262" s="2"/>
      <c r="G262" s="2"/>
      <c r="H262" s="7"/>
      <c r="I262" s="4"/>
      <c r="J262" s="4"/>
      <c r="K262" s="4"/>
      <c r="L262" s="11"/>
      <c r="M262" s="5"/>
    </row>
    <row r="263" spans="1:13" ht="45" customHeight="1" thickBot="1" x14ac:dyDescent="0.3">
      <c r="A263" s="3"/>
      <c r="B263" s="7"/>
      <c r="C263" s="4"/>
      <c r="D263" s="2"/>
      <c r="E263" s="7"/>
      <c r="F263" s="2"/>
      <c r="G263" s="2"/>
      <c r="H263" s="7"/>
      <c r="I263" s="4"/>
      <c r="J263" s="4"/>
      <c r="K263" s="4"/>
      <c r="L263" s="11"/>
      <c r="M263" s="5"/>
    </row>
    <row r="264" spans="1:13" s="8" customFormat="1" ht="45" customHeight="1" thickBot="1" x14ac:dyDescent="0.3">
      <c r="A264" s="3"/>
      <c r="B264" s="7"/>
      <c r="C264" s="4"/>
      <c r="D264" s="2"/>
      <c r="E264" s="7"/>
      <c r="F264" s="2"/>
      <c r="G264" s="2"/>
      <c r="H264" s="7"/>
      <c r="I264" s="4"/>
      <c r="J264" s="2"/>
      <c r="K264" s="2"/>
      <c r="L264" s="12"/>
      <c r="M264" s="27"/>
    </row>
    <row r="265" spans="1:13" s="8" customFormat="1" ht="45" customHeight="1" thickBot="1" x14ac:dyDescent="0.3">
      <c r="A265" s="3"/>
      <c r="B265" s="7"/>
      <c r="C265" s="4"/>
      <c r="D265" s="2"/>
      <c r="E265" s="7"/>
      <c r="F265" s="2"/>
      <c r="G265" s="2"/>
      <c r="H265" s="7"/>
      <c r="I265" s="4"/>
      <c r="J265" s="2"/>
      <c r="K265" s="2"/>
      <c r="L265" s="12"/>
      <c r="M265" s="27"/>
    </row>
    <row r="266" spans="1:13" s="8" customFormat="1" ht="45" customHeight="1" thickBot="1" x14ac:dyDescent="0.3">
      <c r="A266" s="3"/>
      <c r="B266" s="7"/>
      <c r="C266" s="4"/>
      <c r="D266" s="2"/>
      <c r="E266" s="7"/>
      <c r="F266" s="2"/>
      <c r="G266" s="2"/>
      <c r="H266" s="7"/>
      <c r="I266" s="4"/>
      <c r="J266" s="2"/>
      <c r="K266" s="2"/>
      <c r="L266" s="12"/>
      <c r="M266" s="27"/>
    </row>
    <row r="267" spans="1:13" s="8" customFormat="1" ht="45" customHeight="1" thickBot="1" x14ac:dyDescent="0.3">
      <c r="A267" s="3"/>
      <c r="B267" s="7"/>
      <c r="C267" s="4"/>
      <c r="D267" s="2"/>
      <c r="E267" s="7"/>
      <c r="F267" s="2"/>
      <c r="G267" s="2"/>
      <c r="H267" s="7"/>
      <c r="I267" s="4"/>
      <c r="J267" s="2"/>
      <c r="K267" s="2"/>
      <c r="L267" s="12"/>
      <c r="M267" s="27"/>
    </row>
    <row r="268" spans="1:13" s="8" customFormat="1" ht="45" customHeight="1" thickBot="1" x14ac:dyDescent="0.3">
      <c r="A268" s="3"/>
      <c r="B268" s="7"/>
      <c r="C268" s="4"/>
      <c r="D268" s="2"/>
      <c r="E268" s="7"/>
      <c r="F268" s="2"/>
      <c r="G268" s="2"/>
      <c r="H268" s="7"/>
      <c r="I268" s="4"/>
      <c r="J268" s="2"/>
      <c r="K268" s="2"/>
      <c r="L268" s="12"/>
      <c r="M268" s="27"/>
    </row>
    <row r="269" spans="1:13" s="8" customFormat="1" ht="45" customHeight="1" thickBot="1" x14ac:dyDescent="0.3">
      <c r="A269" s="3"/>
      <c r="B269" s="7"/>
      <c r="C269" s="4"/>
      <c r="D269" s="2"/>
      <c r="E269" s="7"/>
      <c r="F269" s="2"/>
      <c r="G269" s="2"/>
      <c r="H269" s="7"/>
      <c r="I269" s="4"/>
      <c r="J269" s="2"/>
      <c r="K269" s="2"/>
      <c r="L269" s="12"/>
      <c r="M269" s="27"/>
    </row>
    <row r="270" spans="1:13" s="8" customFormat="1" ht="45" customHeight="1" thickBot="1" x14ac:dyDescent="0.3">
      <c r="A270" s="3"/>
      <c r="B270" s="7"/>
      <c r="C270" s="4"/>
      <c r="D270" s="2"/>
      <c r="E270" s="7"/>
      <c r="F270" s="2"/>
      <c r="G270" s="2"/>
      <c r="H270" s="7"/>
      <c r="I270" s="4"/>
      <c r="J270" s="2"/>
      <c r="K270" s="2"/>
      <c r="L270" s="12"/>
      <c r="M270" s="27"/>
    </row>
    <row r="271" spans="1:13" s="8" customFormat="1" ht="45" customHeight="1" thickBot="1" x14ac:dyDescent="0.3">
      <c r="A271" s="3"/>
      <c r="B271" s="7"/>
      <c r="C271" s="4"/>
      <c r="D271" s="2"/>
      <c r="E271" s="7"/>
      <c r="F271" s="2"/>
      <c r="G271" s="2"/>
      <c r="H271" s="7"/>
      <c r="I271" s="4"/>
      <c r="J271" s="2"/>
      <c r="K271" s="2"/>
      <c r="L271" s="12"/>
      <c r="M271" s="27"/>
    </row>
    <row r="272" spans="1:13" s="8" customFormat="1" ht="45" customHeight="1" thickBot="1" x14ac:dyDescent="0.3">
      <c r="A272" s="3"/>
      <c r="B272" s="7"/>
      <c r="C272" s="2"/>
      <c r="D272" s="15"/>
      <c r="E272" s="7"/>
      <c r="F272" s="2"/>
      <c r="G272" s="2"/>
      <c r="H272" s="2"/>
      <c r="I272" s="4"/>
      <c r="J272" s="2"/>
      <c r="K272" s="2"/>
      <c r="L272" s="12"/>
      <c r="M272" s="6"/>
    </row>
    <row r="273" spans="1:13" ht="45" customHeight="1" thickBot="1" x14ac:dyDescent="0.3">
      <c r="A273" s="3"/>
      <c r="B273" s="7"/>
      <c r="C273" s="4"/>
      <c r="D273" s="2"/>
      <c r="E273" s="7"/>
      <c r="F273" s="2"/>
      <c r="G273" s="2"/>
      <c r="H273" s="7"/>
      <c r="I273" s="4"/>
      <c r="J273" s="4"/>
      <c r="K273" s="4"/>
      <c r="L273" s="11"/>
      <c r="M273" s="44"/>
    </row>
    <row r="274" spans="1:13" ht="45" customHeight="1" thickBot="1" x14ac:dyDescent="0.3">
      <c r="A274" s="3"/>
      <c r="B274" s="7"/>
      <c r="C274" s="4"/>
      <c r="D274" s="2"/>
      <c r="E274" s="7"/>
      <c r="F274" s="2"/>
      <c r="G274" s="2"/>
      <c r="H274" s="7"/>
      <c r="I274" s="4"/>
      <c r="J274" s="4"/>
      <c r="K274" s="4"/>
      <c r="L274" s="11"/>
      <c r="M274" s="44"/>
    </row>
    <row r="275" spans="1:13" s="8" customFormat="1" ht="45" customHeight="1" thickBot="1" x14ac:dyDescent="0.3">
      <c r="A275" s="3"/>
      <c r="B275" s="7"/>
      <c r="C275" s="2"/>
      <c r="D275" s="10"/>
      <c r="E275" s="7"/>
      <c r="F275" s="2"/>
      <c r="G275" s="2"/>
      <c r="H275" s="7"/>
      <c r="I275" s="4"/>
      <c r="J275" s="2"/>
      <c r="K275" s="2"/>
      <c r="L275" s="12"/>
      <c r="M275" s="6"/>
    </row>
    <row r="276" spans="1:13" s="8" customFormat="1" ht="45" customHeight="1" thickBot="1" x14ac:dyDescent="0.3">
      <c r="A276" s="3"/>
      <c r="B276" s="7"/>
      <c r="C276" s="2"/>
      <c r="D276" s="10"/>
      <c r="E276" s="7"/>
      <c r="F276" s="2"/>
      <c r="G276" s="2"/>
      <c r="H276" s="7"/>
      <c r="I276" s="4"/>
      <c r="J276" s="2"/>
      <c r="K276" s="2"/>
      <c r="L276" s="12"/>
      <c r="M276" s="27"/>
    </row>
    <row r="277" spans="1:13" s="8" customFormat="1" ht="45" customHeight="1" thickBot="1" x14ac:dyDescent="0.3">
      <c r="A277" s="3"/>
      <c r="B277" s="7"/>
      <c r="C277" s="2"/>
      <c r="D277" s="10"/>
      <c r="E277" s="7"/>
      <c r="F277" s="2"/>
      <c r="G277" s="2"/>
      <c r="H277" s="7"/>
      <c r="I277" s="4"/>
      <c r="J277" s="2"/>
      <c r="K277" s="2"/>
      <c r="L277" s="12"/>
      <c r="M277" s="6"/>
    </row>
    <row r="278" spans="1:13" s="8" customFormat="1" ht="45" customHeight="1" thickBot="1" x14ac:dyDescent="0.3">
      <c r="A278" s="3"/>
      <c r="B278" s="7"/>
      <c r="C278" s="4"/>
      <c r="D278" s="2"/>
      <c r="E278" s="7"/>
      <c r="F278" s="2"/>
      <c r="G278" s="2"/>
      <c r="H278" s="7"/>
      <c r="I278" s="4"/>
      <c r="J278" s="2"/>
      <c r="K278" s="2"/>
      <c r="L278" s="12"/>
      <c r="M278" s="6"/>
    </row>
    <row r="279" spans="1:13" s="8" customFormat="1" ht="45" customHeight="1" thickBot="1" x14ac:dyDescent="0.3">
      <c r="A279" s="3"/>
      <c r="B279" s="7"/>
      <c r="C279" s="4"/>
      <c r="D279" s="13"/>
      <c r="E279" s="7"/>
      <c r="F279" s="2"/>
      <c r="G279" s="2"/>
      <c r="H279" s="7"/>
      <c r="I279" s="4"/>
      <c r="J279" s="2"/>
      <c r="K279" s="2"/>
      <c r="L279" s="12"/>
      <c r="M279" s="6"/>
    </row>
    <row r="280" spans="1:13" ht="45" customHeight="1" thickBot="1" x14ac:dyDescent="0.3">
      <c r="A280" s="3"/>
      <c r="B280" s="7"/>
      <c r="C280" s="4"/>
      <c r="D280" s="2"/>
      <c r="E280" s="7"/>
      <c r="F280" s="2"/>
      <c r="G280" s="2"/>
      <c r="H280" s="7"/>
      <c r="I280" s="4"/>
      <c r="J280" s="4"/>
      <c r="K280" s="4"/>
      <c r="L280" s="11"/>
      <c r="M280" s="44"/>
    </row>
    <row r="281" spans="1:13" s="8" customFormat="1" ht="45" customHeight="1" thickBot="1" x14ac:dyDescent="0.3">
      <c r="A281" s="3"/>
      <c r="B281" s="7"/>
      <c r="C281" s="4"/>
      <c r="D281" s="13"/>
      <c r="E281" s="7"/>
      <c r="F281" s="2"/>
      <c r="G281" s="2"/>
      <c r="H281" s="7"/>
      <c r="I281" s="4"/>
      <c r="J281" s="2"/>
      <c r="K281" s="2"/>
      <c r="L281" s="12"/>
      <c r="M281" s="6"/>
    </row>
    <row r="282" spans="1:13" s="8" customFormat="1" ht="45" customHeight="1" thickBot="1" x14ac:dyDescent="0.3">
      <c r="A282" s="3"/>
      <c r="B282" s="7"/>
      <c r="C282" s="4"/>
      <c r="D282" s="13"/>
      <c r="E282" s="7"/>
      <c r="F282" s="2"/>
      <c r="G282" s="2"/>
      <c r="H282" s="7"/>
      <c r="I282" s="4"/>
      <c r="J282" s="2"/>
      <c r="K282" s="2"/>
      <c r="L282" s="12"/>
      <c r="M282" s="6"/>
    </row>
    <row r="283" spans="1:13" s="8" customFormat="1" ht="45" customHeight="1" thickBot="1" x14ac:dyDescent="0.3">
      <c r="A283" s="3"/>
      <c r="B283" s="7"/>
      <c r="C283" s="4"/>
      <c r="D283" s="10"/>
      <c r="E283" s="7"/>
      <c r="F283" s="2"/>
      <c r="G283" s="2"/>
      <c r="H283" s="7"/>
      <c r="I283" s="4"/>
      <c r="J283" s="2"/>
      <c r="K283" s="2"/>
      <c r="L283" s="12"/>
      <c r="M283" s="6"/>
    </row>
    <row r="284" spans="1:13" s="8" customFormat="1" ht="45" customHeight="1" thickBot="1" x14ac:dyDescent="0.3">
      <c r="A284" s="3"/>
      <c r="B284" s="7"/>
      <c r="C284" s="4"/>
      <c r="D284" s="13"/>
      <c r="E284" s="7"/>
      <c r="F284" s="2"/>
      <c r="G284" s="2"/>
      <c r="H284" s="7"/>
      <c r="I284" s="4"/>
      <c r="J284" s="2"/>
      <c r="K284" s="2"/>
      <c r="L284" s="12"/>
      <c r="M284" s="6"/>
    </row>
    <row r="285" spans="1:13" s="8" customFormat="1" ht="45" customHeight="1" thickBot="1" x14ac:dyDescent="0.3">
      <c r="A285" s="3"/>
      <c r="B285" s="7"/>
      <c r="C285" s="4"/>
      <c r="D285" s="13"/>
      <c r="E285" s="7"/>
      <c r="F285" s="2"/>
      <c r="G285" s="2"/>
      <c r="H285" s="7"/>
      <c r="I285" s="4"/>
      <c r="J285" s="2"/>
      <c r="K285" s="2"/>
      <c r="L285" s="12"/>
      <c r="M285" s="6"/>
    </row>
    <row r="286" spans="1:13" s="8" customFormat="1" ht="45" customHeight="1" thickBot="1" x14ac:dyDescent="0.3">
      <c r="A286" s="3"/>
      <c r="B286" s="7"/>
      <c r="C286" s="4"/>
      <c r="D286" s="13"/>
      <c r="E286" s="7"/>
      <c r="F286" s="2"/>
      <c r="G286" s="2"/>
      <c r="H286" s="7"/>
      <c r="I286" s="4"/>
      <c r="J286" s="2"/>
      <c r="K286" s="2"/>
      <c r="L286" s="12"/>
      <c r="M286" s="6"/>
    </row>
    <row r="287" spans="1:13" s="8" customFormat="1" ht="45" customHeight="1" thickBot="1" x14ac:dyDescent="0.3">
      <c r="A287" s="3"/>
      <c r="B287" s="7"/>
      <c r="C287" s="4"/>
      <c r="D287" s="2"/>
      <c r="E287" s="7"/>
      <c r="F287" s="2"/>
      <c r="G287" s="2"/>
      <c r="H287" s="7"/>
      <c r="I287" s="4"/>
      <c r="J287" s="2"/>
      <c r="K287" s="2"/>
      <c r="L287" s="12"/>
      <c r="M287" s="27"/>
    </row>
    <row r="288" spans="1:13" s="8" customFormat="1" ht="45" customHeight="1" thickBot="1" x14ac:dyDescent="0.3">
      <c r="A288" s="3"/>
      <c r="B288" s="7"/>
      <c r="C288" s="2"/>
      <c r="D288" s="10"/>
      <c r="E288" s="7"/>
      <c r="F288" s="2"/>
      <c r="G288" s="2"/>
      <c r="H288" s="7"/>
      <c r="I288" s="4"/>
      <c r="J288" s="2"/>
      <c r="K288" s="2"/>
      <c r="L288" s="12"/>
      <c r="M288" s="6"/>
    </row>
    <row r="289" spans="1:13" s="8" customFormat="1" ht="45" customHeight="1" thickBot="1" x14ac:dyDescent="0.3">
      <c r="A289" s="3"/>
      <c r="B289" s="7"/>
      <c r="C289" s="2"/>
      <c r="D289" s="10"/>
      <c r="E289" s="7"/>
      <c r="F289" s="2"/>
      <c r="G289" s="2"/>
      <c r="H289" s="7"/>
      <c r="I289" s="4"/>
      <c r="J289" s="2"/>
      <c r="K289" s="2"/>
      <c r="L289" s="12"/>
      <c r="M289" s="6"/>
    </row>
    <row r="290" spans="1:13" s="8" customFormat="1" ht="45" customHeight="1" thickBot="1" x14ac:dyDescent="0.3">
      <c r="A290" s="3"/>
      <c r="B290" s="7"/>
      <c r="C290" s="2"/>
      <c r="D290" s="10"/>
      <c r="E290" s="7"/>
      <c r="F290" s="2"/>
      <c r="G290" s="2"/>
      <c r="H290" s="7"/>
      <c r="I290" s="4"/>
      <c r="J290" s="2"/>
      <c r="K290" s="2"/>
      <c r="L290" s="12"/>
      <c r="M290" s="6"/>
    </row>
    <row r="291" spans="1:13" s="8" customFormat="1" ht="45" customHeight="1" thickBot="1" x14ac:dyDescent="0.3">
      <c r="A291" s="3"/>
      <c r="B291" s="7"/>
      <c r="C291" s="2"/>
      <c r="D291" s="10"/>
      <c r="E291" s="7"/>
      <c r="F291" s="2"/>
      <c r="G291" s="2"/>
      <c r="H291" s="7"/>
      <c r="I291" s="4"/>
      <c r="J291" s="2"/>
      <c r="K291" s="2"/>
      <c r="L291" s="12"/>
      <c r="M291" s="6"/>
    </row>
    <row r="292" spans="1:13" s="8" customFormat="1" ht="45" customHeight="1" thickBot="1" x14ac:dyDescent="0.3">
      <c r="A292" s="3"/>
      <c r="B292" s="7"/>
      <c r="C292" s="2"/>
      <c r="D292" s="10"/>
      <c r="E292" s="7"/>
      <c r="F292" s="2"/>
      <c r="G292" s="2"/>
      <c r="H292" s="7"/>
      <c r="I292" s="4"/>
      <c r="J292" s="2"/>
      <c r="K292" s="2"/>
      <c r="L292" s="12"/>
      <c r="M292" s="6"/>
    </row>
    <row r="293" spans="1:13" s="8" customFormat="1" ht="45" customHeight="1" thickBot="1" x14ac:dyDescent="0.3">
      <c r="A293" s="3"/>
      <c r="B293" s="7"/>
      <c r="C293" s="2"/>
      <c r="D293" s="10"/>
      <c r="E293" s="7"/>
      <c r="F293" s="2"/>
      <c r="G293" s="2"/>
      <c r="H293" s="7"/>
      <c r="I293" s="4"/>
      <c r="J293" s="2"/>
      <c r="K293" s="2"/>
      <c r="L293" s="12"/>
      <c r="M293" s="6"/>
    </row>
    <row r="294" spans="1:13" s="8" customFormat="1" ht="45" customHeight="1" thickBot="1" x14ac:dyDescent="0.3">
      <c r="A294" s="3"/>
      <c r="B294" s="7"/>
      <c r="C294" s="2"/>
      <c r="D294" s="10"/>
      <c r="E294" s="7"/>
      <c r="F294" s="2"/>
      <c r="G294" s="2"/>
      <c r="H294" s="7"/>
      <c r="I294" s="4"/>
      <c r="J294" s="2"/>
      <c r="K294" s="2"/>
      <c r="L294" s="12"/>
      <c r="M294" s="6"/>
    </row>
    <row r="295" spans="1:13" s="8" customFormat="1" ht="45" customHeight="1" thickBot="1" x14ac:dyDescent="0.3">
      <c r="A295" s="3"/>
      <c r="B295" s="7"/>
      <c r="C295" s="2"/>
      <c r="D295" s="10"/>
      <c r="E295" s="7"/>
      <c r="F295" s="2"/>
      <c r="G295" s="2"/>
      <c r="H295" s="7"/>
      <c r="I295" s="4"/>
      <c r="J295" s="2"/>
      <c r="K295" s="2"/>
      <c r="L295" s="12"/>
      <c r="M295" s="6"/>
    </row>
    <row r="296" spans="1:13" s="8" customFormat="1" ht="45" customHeight="1" thickBot="1" x14ac:dyDescent="0.3">
      <c r="A296" s="3"/>
      <c r="B296" s="7"/>
      <c r="C296" s="2"/>
      <c r="D296" s="10"/>
      <c r="E296" s="7"/>
      <c r="F296" s="2"/>
      <c r="G296" s="2"/>
      <c r="H296" s="7"/>
      <c r="I296" s="4"/>
      <c r="J296" s="2"/>
      <c r="K296" s="2"/>
      <c r="L296" s="12"/>
      <c r="M296" s="6"/>
    </row>
    <row r="297" spans="1:13" s="8" customFormat="1" ht="45" customHeight="1" thickBot="1" x14ac:dyDescent="0.3">
      <c r="A297" s="3"/>
      <c r="B297" s="7"/>
      <c r="C297" s="2"/>
      <c r="D297" s="10"/>
      <c r="E297" s="7"/>
      <c r="F297" s="2"/>
      <c r="G297" s="2"/>
      <c r="H297" s="7"/>
      <c r="I297" s="4"/>
      <c r="J297" s="2"/>
      <c r="K297" s="2"/>
      <c r="L297" s="12"/>
      <c r="M297" s="6"/>
    </row>
    <row r="298" spans="1:13" s="8" customFormat="1" ht="45" customHeight="1" thickBot="1" x14ac:dyDescent="0.3">
      <c r="A298" s="3"/>
      <c r="B298" s="7"/>
      <c r="C298" s="2"/>
      <c r="D298" s="10"/>
      <c r="E298" s="7"/>
      <c r="F298" s="2"/>
      <c r="G298" s="2"/>
      <c r="H298" s="7"/>
      <c r="I298" s="4"/>
      <c r="J298" s="2"/>
      <c r="K298" s="2"/>
      <c r="L298" s="12"/>
      <c r="M298" s="6"/>
    </row>
    <row r="299" spans="1:13" s="8" customFormat="1" ht="45" customHeight="1" thickBot="1" x14ac:dyDescent="0.3">
      <c r="A299" s="3"/>
      <c r="B299" s="7"/>
      <c r="C299" s="2"/>
      <c r="D299" s="10"/>
      <c r="E299" s="7"/>
      <c r="F299" s="2"/>
      <c r="G299" s="2"/>
      <c r="H299" s="7"/>
      <c r="I299" s="4"/>
      <c r="J299" s="2"/>
      <c r="K299" s="2"/>
      <c r="L299" s="12"/>
      <c r="M299" s="6"/>
    </row>
    <row r="300" spans="1:13" s="8" customFormat="1" ht="45" customHeight="1" thickBot="1" x14ac:dyDescent="0.3">
      <c r="A300" s="3"/>
      <c r="B300" s="7"/>
      <c r="C300" s="2"/>
      <c r="D300" s="10"/>
      <c r="E300" s="7"/>
      <c r="F300" s="2"/>
      <c r="G300" s="2"/>
      <c r="H300" s="7"/>
      <c r="I300" s="4"/>
      <c r="J300" s="2"/>
      <c r="K300" s="2"/>
      <c r="L300" s="12"/>
      <c r="M300" s="6"/>
    </row>
    <row r="301" spans="1:13" s="8" customFormat="1" ht="45" customHeight="1" thickBot="1" x14ac:dyDescent="0.3">
      <c r="A301" s="3"/>
      <c r="B301" s="7"/>
      <c r="C301" s="2"/>
      <c r="D301" s="10"/>
      <c r="E301" s="7"/>
      <c r="F301" s="2"/>
      <c r="G301" s="2"/>
      <c r="H301" s="7"/>
      <c r="I301" s="4"/>
      <c r="J301" s="2"/>
      <c r="K301" s="2"/>
      <c r="L301" s="12"/>
      <c r="M301" s="6"/>
    </row>
    <row r="302" spans="1:13" s="8" customFormat="1" ht="45" customHeight="1" thickBot="1" x14ac:dyDescent="0.3">
      <c r="A302" s="3"/>
      <c r="B302" s="7"/>
      <c r="C302" s="2"/>
      <c r="D302" s="10"/>
      <c r="E302" s="7"/>
      <c r="F302" s="2"/>
      <c r="G302" s="2"/>
      <c r="H302" s="7"/>
      <c r="I302" s="4"/>
      <c r="J302" s="2"/>
      <c r="K302" s="2"/>
      <c r="L302" s="12"/>
      <c r="M302" s="6"/>
    </row>
    <row r="303" spans="1:13" s="8" customFormat="1" ht="45" customHeight="1" thickBot="1" x14ac:dyDescent="0.3">
      <c r="A303" s="3"/>
      <c r="B303" s="7"/>
      <c r="C303" s="2"/>
      <c r="D303" s="10"/>
      <c r="E303" s="7"/>
      <c r="F303" s="2"/>
      <c r="G303" s="2"/>
      <c r="H303" s="7"/>
      <c r="I303" s="4"/>
      <c r="J303" s="2"/>
      <c r="K303" s="2"/>
      <c r="L303" s="12"/>
      <c r="M303" s="6"/>
    </row>
    <row r="304" spans="1:13" s="8" customFormat="1" ht="45" customHeight="1" thickBot="1" x14ac:dyDescent="0.3">
      <c r="A304" s="3"/>
      <c r="B304" s="7"/>
      <c r="C304" s="2"/>
      <c r="D304" s="10"/>
      <c r="E304" s="7"/>
      <c r="F304" s="2"/>
      <c r="G304" s="2"/>
      <c r="H304" s="7"/>
      <c r="I304" s="4"/>
      <c r="J304" s="2"/>
      <c r="K304" s="2"/>
      <c r="L304" s="12"/>
      <c r="M304" s="6"/>
    </row>
    <row r="305" spans="1:13" s="8" customFormat="1" ht="45" customHeight="1" thickBot="1" x14ac:dyDescent="0.3">
      <c r="A305" s="3"/>
      <c r="B305" s="7"/>
      <c r="C305" s="2"/>
      <c r="D305" s="10"/>
      <c r="E305" s="7"/>
      <c r="F305" s="2"/>
      <c r="G305" s="2"/>
      <c r="H305" s="7"/>
      <c r="I305" s="4"/>
      <c r="J305" s="2"/>
      <c r="K305" s="2"/>
      <c r="L305" s="12"/>
      <c r="M305" s="6"/>
    </row>
    <row r="306" spans="1:13" s="8" customFormat="1" ht="45" customHeight="1" thickBot="1" x14ac:dyDescent="0.3">
      <c r="A306" s="3"/>
      <c r="B306" s="7"/>
      <c r="C306" s="2"/>
      <c r="D306" s="10"/>
      <c r="E306" s="7"/>
      <c r="F306" s="2"/>
      <c r="G306" s="2"/>
      <c r="H306" s="7"/>
      <c r="I306" s="4"/>
      <c r="J306" s="2"/>
      <c r="K306" s="2"/>
      <c r="L306" s="12"/>
      <c r="M306" s="6"/>
    </row>
    <row r="307" spans="1:13" s="8" customFormat="1" ht="45" customHeight="1" thickBot="1" x14ac:dyDescent="0.3">
      <c r="A307" s="3"/>
      <c r="B307" s="7"/>
      <c r="C307" s="2"/>
      <c r="D307" s="10"/>
      <c r="E307" s="7"/>
      <c r="F307" s="2"/>
      <c r="G307" s="2"/>
      <c r="H307" s="7"/>
      <c r="I307" s="4"/>
      <c r="J307" s="2"/>
      <c r="K307" s="2"/>
      <c r="L307" s="12"/>
      <c r="M307" s="6"/>
    </row>
    <row r="308" spans="1:13" s="8" customFormat="1" ht="45" customHeight="1" thickBot="1" x14ac:dyDescent="0.3">
      <c r="A308" s="3"/>
      <c r="B308" s="7"/>
      <c r="C308" s="2"/>
      <c r="D308" s="10"/>
      <c r="E308" s="7"/>
      <c r="F308" s="2"/>
      <c r="G308" s="2"/>
      <c r="H308" s="7"/>
      <c r="I308" s="4"/>
      <c r="J308" s="2"/>
      <c r="K308" s="2"/>
      <c r="L308" s="12"/>
      <c r="M308" s="6"/>
    </row>
    <row r="309" spans="1:13" s="8" customFormat="1" ht="45" customHeight="1" thickBot="1" x14ac:dyDescent="0.3">
      <c r="A309" s="3"/>
      <c r="B309" s="7"/>
      <c r="C309" s="2"/>
      <c r="D309" s="10"/>
      <c r="E309" s="7"/>
      <c r="F309" s="2"/>
      <c r="G309" s="2"/>
      <c r="H309" s="7"/>
      <c r="I309" s="4"/>
      <c r="J309" s="2"/>
      <c r="K309" s="2"/>
      <c r="L309" s="12"/>
      <c r="M309" s="6"/>
    </row>
    <row r="310" spans="1:13" ht="45" customHeight="1" thickBot="1" x14ac:dyDescent="0.3">
      <c r="A310" s="3"/>
      <c r="B310" s="7"/>
      <c r="C310" s="2"/>
      <c r="D310" s="10"/>
      <c r="E310" s="7"/>
      <c r="F310" s="2"/>
      <c r="G310" s="2"/>
      <c r="H310" s="7"/>
      <c r="I310" s="4"/>
      <c r="J310" s="2"/>
      <c r="K310" s="4"/>
      <c r="L310" s="11"/>
      <c r="M310" s="6"/>
    </row>
    <row r="311" spans="1:13" ht="45" customHeight="1" thickBot="1" x14ac:dyDescent="0.3">
      <c r="A311" s="3"/>
      <c r="B311" s="7"/>
      <c r="C311" s="2"/>
      <c r="D311" s="10"/>
      <c r="E311" s="7"/>
      <c r="F311" s="2"/>
      <c r="G311" s="2"/>
      <c r="H311" s="7"/>
      <c r="I311" s="4"/>
      <c r="J311" s="2"/>
      <c r="K311" s="4"/>
      <c r="L311" s="11"/>
      <c r="M311" s="6"/>
    </row>
    <row r="312" spans="1:13" ht="45" customHeight="1" thickBot="1" x14ac:dyDescent="0.3">
      <c r="A312" s="3"/>
      <c r="B312" s="7"/>
      <c r="C312" s="2"/>
      <c r="D312" s="10"/>
      <c r="E312" s="7"/>
      <c r="F312" s="2"/>
      <c r="G312" s="2"/>
      <c r="H312" s="7"/>
      <c r="I312" s="4"/>
      <c r="J312" s="2"/>
      <c r="K312" s="4"/>
      <c r="L312" s="11"/>
      <c r="M312" s="6"/>
    </row>
    <row r="313" spans="1:13" ht="45" customHeight="1" thickBot="1" x14ac:dyDescent="0.3">
      <c r="A313" s="3"/>
      <c r="B313" s="7"/>
      <c r="C313" s="2"/>
      <c r="D313" s="10"/>
      <c r="E313" s="7"/>
      <c r="F313" s="2"/>
      <c r="G313" s="2"/>
      <c r="H313" s="7"/>
      <c r="I313" s="4"/>
      <c r="J313" s="2"/>
      <c r="K313" s="4"/>
      <c r="L313" s="11"/>
      <c r="M313" s="6"/>
    </row>
    <row r="314" spans="1:13" ht="45" customHeight="1" thickBot="1" x14ac:dyDescent="0.3">
      <c r="A314" s="3"/>
      <c r="B314" s="7"/>
      <c r="C314" s="2"/>
      <c r="D314" s="10"/>
      <c r="E314" s="7"/>
      <c r="F314" s="2"/>
      <c r="G314" s="2"/>
      <c r="H314" s="7"/>
      <c r="I314" s="4"/>
      <c r="J314" s="2"/>
      <c r="K314" s="4"/>
      <c r="L314" s="11"/>
      <c r="M314" s="6"/>
    </row>
    <row r="315" spans="1:13" ht="45" customHeight="1" thickBot="1" x14ac:dyDescent="0.3">
      <c r="A315" s="3"/>
      <c r="B315" s="7"/>
      <c r="C315" s="2"/>
      <c r="D315" s="10"/>
      <c r="E315" s="7"/>
      <c r="F315" s="2"/>
      <c r="G315" s="2"/>
      <c r="H315" s="7"/>
      <c r="I315" s="4"/>
      <c r="J315" s="2"/>
      <c r="K315" s="4"/>
      <c r="L315" s="11"/>
      <c r="M315" s="6"/>
    </row>
    <row r="316" spans="1:13" ht="45" customHeight="1" thickBot="1" x14ac:dyDescent="0.3">
      <c r="A316" s="3"/>
      <c r="B316" s="7"/>
      <c r="C316" s="2"/>
      <c r="D316" s="10"/>
      <c r="E316" s="7"/>
      <c r="F316" s="2"/>
      <c r="G316" s="2"/>
      <c r="H316" s="7"/>
      <c r="I316" s="4"/>
      <c r="J316" s="2"/>
      <c r="K316" s="4"/>
      <c r="L316" s="11"/>
      <c r="M316" s="6"/>
    </row>
    <row r="317" spans="1:13" ht="45" customHeight="1" thickBot="1" x14ac:dyDescent="0.3">
      <c r="A317" s="3"/>
      <c r="B317" s="7"/>
      <c r="C317" s="2"/>
      <c r="D317" s="10"/>
      <c r="E317" s="7"/>
      <c r="F317" s="2"/>
      <c r="G317" s="2"/>
      <c r="H317" s="7"/>
      <c r="I317" s="4"/>
      <c r="J317" s="2"/>
      <c r="K317" s="4"/>
      <c r="L317" s="11"/>
      <c r="M317" s="6"/>
    </row>
    <row r="318" spans="1:13" ht="45" customHeight="1" thickBot="1" x14ac:dyDescent="0.3">
      <c r="A318" s="3"/>
      <c r="B318" s="7"/>
      <c r="C318" s="2"/>
      <c r="D318" s="10"/>
      <c r="E318" s="7"/>
      <c r="F318" s="2"/>
      <c r="G318" s="2"/>
      <c r="H318" s="7"/>
      <c r="I318" s="4"/>
      <c r="J318" s="2"/>
      <c r="K318" s="4"/>
      <c r="L318" s="11"/>
      <c r="M318" s="6"/>
    </row>
    <row r="319" spans="1:13" ht="45" customHeight="1" thickBot="1" x14ac:dyDescent="0.3">
      <c r="A319" s="3"/>
      <c r="B319" s="7"/>
      <c r="C319" s="2"/>
      <c r="D319" s="10"/>
      <c r="E319" s="7"/>
      <c r="F319" s="2"/>
      <c r="G319" s="2"/>
      <c r="H319" s="7"/>
      <c r="I319" s="4"/>
      <c r="J319" s="2"/>
      <c r="K319" s="4"/>
      <c r="L319" s="11"/>
      <c r="M319" s="6"/>
    </row>
    <row r="320" spans="1:13" ht="45" customHeight="1" thickBot="1" x14ac:dyDescent="0.3">
      <c r="A320" s="3"/>
      <c r="B320" s="7"/>
      <c r="C320" s="2"/>
      <c r="D320" s="10"/>
      <c r="E320" s="7"/>
      <c r="F320" s="2"/>
      <c r="G320" s="2"/>
      <c r="H320" s="7"/>
      <c r="I320" s="4"/>
      <c r="J320" s="2"/>
      <c r="K320" s="4"/>
      <c r="L320" s="11"/>
      <c r="M320" s="6"/>
    </row>
    <row r="321" spans="1:13" ht="45" customHeight="1" thickBot="1" x14ac:dyDescent="0.3">
      <c r="A321" s="3"/>
      <c r="B321" s="7"/>
      <c r="C321" s="2"/>
      <c r="D321" s="10"/>
      <c r="E321" s="7"/>
      <c r="F321" s="2"/>
      <c r="G321" s="2"/>
      <c r="H321" s="7"/>
      <c r="I321" s="4"/>
      <c r="J321" s="2"/>
      <c r="K321" s="4"/>
      <c r="L321" s="11"/>
      <c r="M321" s="6"/>
    </row>
    <row r="322" spans="1:13" ht="45" customHeight="1" thickBot="1" x14ac:dyDescent="0.3">
      <c r="A322" s="3"/>
      <c r="B322" s="7"/>
      <c r="C322" s="2"/>
      <c r="D322" s="2"/>
      <c r="E322" s="7"/>
      <c r="F322" s="2"/>
      <c r="G322" s="2"/>
      <c r="H322" s="7"/>
      <c r="I322" s="4"/>
      <c r="J322" s="2"/>
      <c r="K322" s="4"/>
      <c r="L322" s="11"/>
      <c r="M322" s="6"/>
    </row>
    <row r="323" spans="1:13" ht="45" customHeight="1" thickBot="1" x14ac:dyDescent="0.3">
      <c r="A323" s="3"/>
      <c r="B323" s="7"/>
      <c r="C323" s="2"/>
      <c r="D323" s="2"/>
      <c r="E323" s="7"/>
      <c r="F323" s="2"/>
      <c r="G323" s="2"/>
      <c r="H323" s="7"/>
      <c r="I323" s="4"/>
      <c r="J323" s="2"/>
      <c r="K323" s="4"/>
      <c r="L323" s="11"/>
      <c r="M323" s="6"/>
    </row>
    <row r="324" spans="1:13" ht="45" customHeight="1" thickBot="1" x14ac:dyDescent="0.3">
      <c r="A324" s="3"/>
      <c r="B324" s="7"/>
      <c r="C324" s="7"/>
      <c r="D324" s="14"/>
      <c r="E324" s="7"/>
      <c r="F324" s="2"/>
      <c r="G324" s="2"/>
      <c r="H324" s="7"/>
      <c r="I324" s="4"/>
      <c r="J324" s="4"/>
      <c r="K324" s="4"/>
      <c r="L324" s="11"/>
      <c r="M324" s="5"/>
    </row>
    <row r="325" spans="1:13" ht="45" customHeight="1" thickBot="1" x14ac:dyDescent="0.3">
      <c r="A325" s="3"/>
      <c r="B325" s="7"/>
      <c r="C325" s="7"/>
      <c r="D325" s="14"/>
      <c r="E325" s="7"/>
      <c r="F325" s="2"/>
      <c r="G325" s="2"/>
      <c r="H325" s="7"/>
      <c r="I325" s="4"/>
      <c r="J325" s="4"/>
      <c r="K325" s="4"/>
      <c r="L325" s="11"/>
      <c r="M325" s="5"/>
    </row>
    <row r="326" spans="1:13" ht="45" customHeight="1" thickBot="1" x14ac:dyDescent="0.3">
      <c r="A326" s="3"/>
      <c r="B326" s="7"/>
      <c r="C326" s="2"/>
      <c r="D326" s="14"/>
      <c r="E326" s="7"/>
      <c r="F326" s="2"/>
      <c r="G326" s="2"/>
      <c r="H326" s="7"/>
      <c r="I326" s="4"/>
      <c r="J326" s="4"/>
      <c r="K326" s="4"/>
      <c r="L326" s="11"/>
      <c r="M326" s="5"/>
    </row>
    <row r="327" spans="1:13" s="8" customFormat="1" ht="45" customHeight="1" thickBot="1" x14ac:dyDescent="0.3">
      <c r="A327" s="3"/>
      <c r="B327" s="7"/>
      <c r="C327" s="4"/>
      <c r="D327" s="2"/>
      <c r="E327" s="7"/>
      <c r="F327" s="2"/>
      <c r="G327" s="2"/>
      <c r="H327" s="7"/>
      <c r="I327" s="4"/>
      <c r="J327" s="2"/>
      <c r="K327" s="2"/>
      <c r="L327" s="12"/>
      <c r="M327" s="6"/>
    </row>
    <row r="328" spans="1:13" s="8" customFormat="1" ht="45" customHeight="1" thickBot="1" x14ac:dyDescent="0.3">
      <c r="A328" s="3"/>
      <c r="B328" s="7"/>
      <c r="C328" s="4"/>
      <c r="D328" s="2"/>
      <c r="E328" s="7"/>
      <c r="F328" s="2"/>
      <c r="G328" s="2"/>
      <c r="H328" s="7"/>
      <c r="I328" s="4"/>
      <c r="J328" s="2"/>
      <c r="K328" s="2"/>
      <c r="L328" s="12"/>
      <c r="M328" s="6"/>
    </row>
    <row r="329" spans="1:13" s="8" customFormat="1" ht="45" customHeight="1" thickBot="1" x14ac:dyDescent="0.3">
      <c r="A329" s="3"/>
      <c r="B329" s="7"/>
      <c r="C329" s="4"/>
      <c r="D329" s="2"/>
      <c r="E329" s="7"/>
      <c r="F329" s="2"/>
      <c r="G329" s="2"/>
      <c r="H329" s="7"/>
      <c r="I329" s="4"/>
      <c r="J329" s="2"/>
      <c r="K329" s="2"/>
      <c r="L329" s="12"/>
      <c r="M329" s="6"/>
    </row>
    <row r="330" spans="1:13" s="8" customFormat="1" ht="45" customHeight="1" thickBot="1" x14ac:dyDescent="0.3">
      <c r="A330" s="3"/>
      <c r="B330" s="7"/>
      <c r="C330" s="4"/>
      <c r="D330" s="2"/>
      <c r="E330" s="7"/>
      <c r="F330" s="2"/>
      <c r="G330" s="2"/>
      <c r="H330" s="7"/>
      <c r="I330" s="4"/>
      <c r="J330" s="2"/>
      <c r="K330" s="2"/>
      <c r="L330" s="12"/>
      <c r="M330" s="6"/>
    </row>
    <row r="331" spans="1:13" ht="45" customHeight="1" thickBot="1" x14ac:dyDescent="0.3">
      <c r="A331" s="3"/>
      <c r="B331" s="7"/>
      <c r="C331" s="4"/>
      <c r="D331" s="14"/>
      <c r="E331" s="7"/>
      <c r="F331" s="2"/>
      <c r="G331" s="2"/>
      <c r="H331" s="7"/>
      <c r="I331" s="4"/>
      <c r="J331" s="4"/>
      <c r="K331" s="4"/>
      <c r="L331" s="11"/>
      <c r="M331" s="5"/>
    </row>
    <row r="332" spans="1:13" ht="45" customHeight="1" thickBot="1" x14ac:dyDescent="0.3">
      <c r="A332" s="3"/>
      <c r="B332" s="7"/>
      <c r="C332" s="4"/>
      <c r="D332" s="14"/>
      <c r="E332" s="7"/>
      <c r="F332" s="2"/>
      <c r="G332" s="2"/>
      <c r="H332" s="7"/>
      <c r="I332" s="4"/>
      <c r="J332" s="4"/>
      <c r="K332" s="4"/>
      <c r="L332" s="11"/>
      <c r="M332" s="5"/>
    </row>
    <row r="333" spans="1:13" ht="45" customHeight="1" thickBot="1" x14ac:dyDescent="0.3">
      <c r="A333" s="3"/>
      <c r="B333" s="7"/>
      <c r="C333" s="4"/>
      <c r="D333" s="14"/>
      <c r="E333" s="7"/>
      <c r="F333" s="2"/>
      <c r="G333" s="2"/>
      <c r="H333" s="7"/>
      <c r="I333" s="4"/>
      <c r="J333" s="4"/>
      <c r="K333" s="4"/>
      <c r="L333" s="11"/>
      <c r="M333" s="5"/>
    </row>
    <row r="334" spans="1:13" ht="45" customHeight="1" thickBot="1" x14ac:dyDescent="0.3">
      <c r="A334" s="3"/>
      <c r="B334" s="7"/>
      <c r="C334" s="4"/>
      <c r="D334" s="14"/>
      <c r="E334" s="7"/>
      <c r="F334" s="2"/>
      <c r="G334" s="2"/>
      <c r="H334" s="7"/>
      <c r="I334" s="4"/>
      <c r="J334" s="4"/>
      <c r="K334" s="4"/>
      <c r="L334" s="11"/>
      <c r="M334" s="5"/>
    </row>
    <row r="335" spans="1:13" s="8" customFormat="1" ht="45" customHeight="1" thickBot="1" x14ac:dyDescent="0.3">
      <c r="A335" s="3"/>
      <c r="B335" s="7"/>
      <c r="C335" s="4"/>
      <c r="D335" s="10"/>
      <c r="E335" s="7"/>
      <c r="F335" s="2"/>
      <c r="G335" s="2"/>
      <c r="H335" s="7"/>
      <c r="I335" s="4"/>
      <c r="J335" s="2"/>
      <c r="K335" s="2"/>
      <c r="L335" s="12"/>
      <c r="M335" s="6"/>
    </row>
    <row r="336" spans="1:13" s="8" customFormat="1" ht="45" customHeight="1" thickBot="1" x14ac:dyDescent="0.3">
      <c r="A336" s="3"/>
      <c r="B336" s="7"/>
      <c r="C336" s="4"/>
      <c r="D336" s="10"/>
      <c r="E336" s="7"/>
      <c r="F336" s="2"/>
      <c r="G336" s="2"/>
      <c r="H336" s="7"/>
      <c r="I336" s="4"/>
      <c r="J336" s="2"/>
      <c r="K336" s="2"/>
      <c r="L336" s="12"/>
      <c r="M336" s="6"/>
    </row>
    <row r="337" spans="1:13" s="8" customFormat="1" ht="45" customHeight="1" thickBot="1" x14ac:dyDescent="0.3">
      <c r="A337" s="3"/>
      <c r="B337" s="7"/>
      <c r="C337" s="4"/>
      <c r="D337" s="10"/>
      <c r="E337" s="7"/>
      <c r="F337" s="2"/>
      <c r="G337" s="2"/>
      <c r="H337" s="7"/>
      <c r="I337" s="4"/>
      <c r="J337" s="2"/>
      <c r="K337" s="2"/>
      <c r="L337" s="12"/>
      <c r="M337" s="6"/>
    </row>
    <row r="338" spans="1:13" s="8" customFormat="1" ht="45" customHeight="1" thickBot="1" x14ac:dyDescent="0.3">
      <c r="A338" s="3"/>
      <c r="B338" s="7"/>
      <c r="C338" s="4"/>
      <c r="D338" s="10"/>
      <c r="E338" s="7"/>
      <c r="F338" s="2"/>
      <c r="G338" s="2"/>
      <c r="H338" s="7"/>
      <c r="I338" s="4"/>
      <c r="J338" s="2"/>
      <c r="K338" s="2"/>
      <c r="L338" s="12"/>
      <c r="M338" s="6"/>
    </row>
    <row r="339" spans="1:13" s="8" customFormat="1" ht="45" customHeight="1" thickBot="1" x14ac:dyDescent="0.3">
      <c r="A339" s="3"/>
      <c r="B339" s="7"/>
      <c r="C339" s="4"/>
      <c r="D339" s="10"/>
      <c r="E339" s="7"/>
      <c r="F339" s="2"/>
      <c r="G339" s="2"/>
      <c r="H339" s="7"/>
      <c r="I339" s="4"/>
      <c r="J339" s="2"/>
      <c r="K339" s="2"/>
      <c r="L339" s="12"/>
      <c r="M339" s="6"/>
    </row>
    <row r="340" spans="1:13" s="8" customFormat="1" ht="45" customHeight="1" thickBot="1" x14ac:dyDescent="0.3">
      <c r="A340" s="3"/>
      <c r="B340" s="7"/>
      <c r="C340" s="4"/>
      <c r="D340" s="10"/>
      <c r="E340" s="7"/>
      <c r="F340" s="2"/>
      <c r="G340" s="2"/>
      <c r="H340" s="7"/>
      <c r="I340" s="4"/>
      <c r="J340" s="2"/>
      <c r="K340" s="2"/>
      <c r="L340" s="12"/>
      <c r="M340" s="6"/>
    </row>
    <row r="341" spans="1:13" ht="45" customHeight="1" thickBot="1" x14ac:dyDescent="0.3">
      <c r="A341" s="3"/>
      <c r="B341" s="7"/>
      <c r="C341" s="4"/>
      <c r="D341" s="10"/>
      <c r="E341" s="7"/>
      <c r="F341" s="2"/>
      <c r="G341" s="2"/>
      <c r="H341" s="7"/>
      <c r="I341" s="4"/>
      <c r="J341" s="2"/>
      <c r="K341" s="4"/>
      <c r="L341" s="11"/>
      <c r="M341" s="6"/>
    </row>
    <row r="342" spans="1:13" ht="45" customHeight="1" thickBot="1" x14ac:dyDescent="0.3">
      <c r="A342" s="3"/>
      <c r="B342" s="7"/>
      <c r="C342" s="4"/>
      <c r="D342" s="10"/>
      <c r="E342" s="7"/>
      <c r="F342" s="2"/>
      <c r="G342" s="2"/>
      <c r="H342" s="7"/>
      <c r="I342" s="4"/>
      <c r="J342" s="2"/>
      <c r="K342" s="4"/>
      <c r="L342" s="11"/>
      <c r="M342" s="6"/>
    </row>
    <row r="343" spans="1:13" ht="45" customHeight="1" thickBot="1" x14ac:dyDescent="0.3">
      <c r="A343" s="3"/>
      <c r="B343" s="7"/>
      <c r="C343" s="4"/>
      <c r="D343" s="10"/>
      <c r="E343" s="7"/>
      <c r="F343" s="2"/>
      <c r="G343" s="2"/>
      <c r="H343" s="7"/>
      <c r="I343" s="4"/>
      <c r="J343" s="2"/>
      <c r="K343" s="4"/>
      <c r="L343" s="11"/>
      <c r="M343" s="6"/>
    </row>
    <row r="344" spans="1:13" ht="45" customHeight="1" thickBot="1" x14ac:dyDescent="0.3">
      <c r="A344" s="3"/>
      <c r="B344" s="7"/>
      <c r="C344" s="4"/>
      <c r="D344" s="10"/>
      <c r="E344" s="7"/>
      <c r="F344" s="2"/>
      <c r="G344" s="2"/>
      <c r="H344" s="7"/>
      <c r="I344" s="4"/>
      <c r="J344" s="2"/>
      <c r="K344" s="4"/>
      <c r="L344" s="11"/>
      <c r="M344" s="6"/>
    </row>
    <row r="345" spans="1:13" s="8" customFormat="1" ht="45" customHeight="1" thickBot="1" x14ac:dyDescent="0.3">
      <c r="A345" s="3"/>
      <c r="B345" s="7"/>
      <c r="C345" s="4"/>
      <c r="D345" s="16"/>
      <c r="E345" s="7"/>
      <c r="F345" s="2"/>
      <c r="G345" s="2"/>
      <c r="H345" s="2"/>
      <c r="I345" s="4"/>
      <c r="J345" s="2"/>
      <c r="K345" s="2"/>
      <c r="L345" s="12"/>
      <c r="M345" s="6"/>
    </row>
    <row r="346" spans="1:13" ht="45" customHeight="1" thickBot="1" x14ac:dyDescent="0.3">
      <c r="A346" s="3"/>
      <c r="B346" s="7"/>
      <c r="C346" s="7"/>
      <c r="D346" s="14"/>
      <c r="E346" s="7"/>
      <c r="F346" s="2"/>
      <c r="G346" s="2"/>
      <c r="H346" s="7"/>
      <c r="I346" s="4"/>
      <c r="J346" s="4"/>
      <c r="K346" s="4"/>
      <c r="L346" s="11"/>
      <c r="M346" s="5"/>
    </row>
    <row r="347" spans="1:13" ht="45" customHeight="1" thickBot="1" x14ac:dyDescent="0.3">
      <c r="A347" s="3"/>
      <c r="B347" s="7"/>
      <c r="C347" s="2"/>
      <c r="D347" s="2"/>
      <c r="E347" s="7"/>
      <c r="F347" s="2"/>
      <c r="G347" s="2"/>
      <c r="H347" s="7"/>
      <c r="I347" s="4"/>
      <c r="J347" s="4"/>
      <c r="K347" s="4"/>
      <c r="L347" s="11"/>
      <c r="M347" s="44"/>
    </row>
    <row r="348" spans="1:13" ht="45" customHeight="1" thickBot="1" x14ac:dyDescent="0.3">
      <c r="A348" s="3"/>
      <c r="B348" s="7"/>
      <c r="C348" s="2"/>
      <c r="D348" s="2"/>
      <c r="E348" s="7"/>
      <c r="F348" s="2"/>
      <c r="G348" s="2"/>
      <c r="H348" s="7"/>
      <c r="I348" s="4"/>
      <c r="J348" s="4"/>
      <c r="K348" s="4"/>
      <c r="L348" s="11"/>
      <c r="M348" s="44"/>
    </row>
    <row r="349" spans="1:13" ht="45" customHeight="1" thickBot="1" x14ac:dyDescent="0.3">
      <c r="A349" s="3"/>
      <c r="B349" s="7"/>
      <c r="C349" s="2"/>
      <c r="D349" s="2"/>
      <c r="E349" s="7"/>
      <c r="F349" s="2"/>
      <c r="G349" s="2"/>
      <c r="H349" s="7"/>
      <c r="I349" s="4"/>
      <c r="J349" s="4"/>
      <c r="K349" s="4"/>
      <c r="L349" s="11"/>
      <c r="M349" s="44"/>
    </row>
    <row r="350" spans="1:13" ht="45" customHeight="1" thickBot="1" x14ac:dyDescent="0.3">
      <c r="A350" s="3"/>
      <c r="B350" s="7"/>
      <c r="C350" s="2"/>
      <c r="D350" s="2"/>
      <c r="E350" s="7"/>
      <c r="F350" s="2"/>
      <c r="G350" s="2"/>
      <c r="H350" s="7"/>
      <c r="I350" s="4"/>
      <c r="J350" s="4"/>
      <c r="K350" s="4"/>
      <c r="L350" s="11"/>
      <c r="M350" s="44"/>
    </row>
    <row r="351" spans="1:13" ht="45" customHeight="1" thickBot="1" x14ac:dyDescent="0.3">
      <c r="A351" s="3"/>
      <c r="B351" s="7"/>
      <c r="C351" s="2"/>
      <c r="D351" s="2"/>
      <c r="E351" s="7"/>
      <c r="F351" s="2"/>
      <c r="G351" s="2"/>
      <c r="H351" s="7"/>
      <c r="I351" s="4"/>
      <c r="J351" s="4"/>
      <c r="K351" s="4"/>
      <c r="L351" s="11"/>
      <c r="M351" s="44"/>
    </row>
    <row r="352" spans="1:13" ht="45" customHeight="1" thickBot="1" x14ac:dyDescent="0.3">
      <c r="A352" s="3"/>
      <c r="B352" s="7"/>
      <c r="C352" s="2"/>
      <c r="D352" s="2"/>
      <c r="E352" s="7"/>
      <c r="F352" s="2"/>
      <c r="G352" s="2"/>
      <c r="H352" s="7"/>
      <c r="I352" s="4"/>
      <c r="J352" s="4"/>
      <c r="K352" s="4"/>
      <c r="L352" s="11"/>
      <c r="M352" s="44"/>
    </row>
    <row r="353" spans="1:13" ht="45" customHeight="1" thickBot="1" x14ac:dyDescent="0.3">
      <c r="A353" s="3"/>
      <c r="B353" s="7"/>
      <c r="C353" s="2"/>
      <c r="D353" s="2"/>
      <c r="E353" s="7"/>
      <c r="F353" s="2"/>
      <c r="G353" s="2"/>
      <c r="H353" s="7"/>
      <c r="I353" s="4"/>
      <c r="J353" s="4"/>
      <c r="K353" s="4"/>
      <c r="L353" s="11"/>
      <c r="M353" s="44"/>
    </row>
    <row r="354" spans="1:13" ht="45" customHeight="1" thickBot="1" x14ac:dyDescent="0.3">
      <c r="A354" s="3"/>
      <c r="B354" s="7"/>
      <c r="C354" s="2"/>
      <c r="D354" s="2"/>
      <c r="E354" s="7"/>
      <c r="F354" s="2"/>
      <c r="G354" s="2"/>
      <c r="H354" s="7"/>
      <c r="I354" s="4"/>
      <c r="J354" s="4"/>
      <c r="K354" s="4"/>
      <c r="L354" s="11"/>
      <c r="M354" s="44"/>
    </row>
    <row r="355" spans="1:13" ht="45" customHeight="1" thickBot="1" x14ac:dyDescent="0.3">
      <c r="A355" s="3"/>
      <c r="B355" s="7"/>
      <c r="C355" s="2"/>
      <c r="D355" s="2"/>
      <c r="E355" s="7"/>
      <c r="F355" s="2"/>
      <c r="G355" s="2"/>
      <c r="H355" s="7"/>
      <c r="I355" s="4"/>
      <c r="J355" s="4"/>
      <c r="K355" s="4"/>
      <c r="L355" s="11"/>
      <c r="M355" s="44"/>
    </row>
    <row r="356" spans="1:13" ht="45" customHeight="1" thickBot="1" x14ac:dyDescent="0.3">
      <c r="A356" s="3"/>
      <c r="B356" s="7"/>
      <c r="C356" s="2"/>
      <c r="D356" s="2"/>
      <c r="E356" s="7"/>
      <c r="F356" s="2"/>
      <c r="G356" s="2"/>
      <c r="H356" s="7"/>
      <c r="I356" s="4"/>
      <c r="J356" s="4"/>
      <c r="K356" s="4"/>
      <c r="L356" s="11"/>
      <c r="M356" s="44"/>
    </row>
    <row r="357" spans="1:13" ht="45" customHeight="1" thickBot="1" x14ac:dyDescent="0.3">
      <c r="A357" s="3"/>
      <c r="B357" s="7"/>
      <c r="C357" s="2"/>
      <c r="D357" s="2"/>
      <c r="E357" s="7"/>
      <c r="F357" s="2"/>
      <c r="G357" s="2"/>
      <c r="H357" s="7"/>
      <c r="I357" s="4"/>
      <c r="J357" s="4"/>
      <c r="K357" s="4"/>
      <c r="L357" s="11"/>
      <c r="M357" s="44"/>
    </row>
    <row r="358" spans="1:13" ht="45" customHeight="1" thickBot="1" x14ac:dyDescent="0.3">
      <c r="A358" s="3"/>
      <c r="B358" s="7"/>
      <c r="C358" s="2"/>
      <c r="D358" s="2"/>
      <c r="E358" s="7"/>
      <c r="F358" s="2"/>
      <c r="G358" s="2"/>
      <c r="H358" s="7"/>
      <c r="I358" s="4"/>
      <c r="J358" s="4"/>
      <c r="K358" s="4"/>
      <c r="L358" s="11"/>
      <c r="M358" s="44"/>
    </row>
    <row r="359" spans="1:13" ht="45" customHeight="1" thickBot="1" x14ac:dyDescent="0.3">
      <c r="A359" s="3"/>
      <c r="B359" s="7"/>
      <c r="C359" s="2"/>
      <c r="D359" s="2"/>
      <c r="E359" s="7"/>
      <c r="F359" s="2"/>
      <c r="G359" s="2"/>
      <c r="H359" s="7"/>
      <c r="I359" s="4"/>
      <c r="J359" s="4"/>
      <c r="K359" s="4"/>
      <c r="L359" s="11"/>
      <c r="M359" s="44"/>
    </row>
    <row r="360" spans="1:13" ht="45" customHeight="1" thickBot="1" x14ac:dyDescent="0.3">
      <c r="A360" s="3"/>
      <c r="B360" s="7"/>
      <c r="C360" s="2"/>
      <c r="D360" s="2"/>
      <c r="E360" s="7"/>
      <c r="F360" s="2"/>
      <c r="G360" s="2"/>
      <c r="H360" s="7"/>
      <c r="I360" s="4"/>
      <c r="J360" s="4"/>
      <c r="K360" s="4"/>
      <c r="L360" s="11"/>
      <c r="M360" s="44"/>
    </row>
    <row r="361" spans="1:13" ht="45" customHeight="1" thickBot="1" x14ac:dyDescent="0.3">
      <c r="A361" s="3"/>
      <c r="B361" s="7"/>
      <c r="C361" s="2"/>
      <c r="D361" s="2"/>
      <c r="E361" s="7"/>
      <c r="F361" s="2"/>
      <c r="G361" s="2"/>
      <c r="H361" s="7"/>
      <c r="I361" s="4"/>
      <c r="J361" s="4"/>
      <c r="K361" s="4"/>
      <c r="L361" s="11"/>
      <c r="M361" s="44"/>
    </row>
    <row r="362" spans="1:13" ht="45" customHeight="1" thickBot="1" x14ac:dyDescent="0.3">
      <c r="A362" s="3"/>
      <c r="B362" s="7"/>
      <c r="C362" s="2"/>
      <c r="D362" s="2"/>
      <c r="E362" s="7"/>
      <c r="F362" s="2"/>
      <c r="G362" s="2"/>
      <c r="H362" s="7"/>
      <c r="I362" s="4"/>
      <c r="J362" s="4"/>
      <c r="K362" s="4"/>
      <c r="L362" s="11"/>
      <c r="M362" s="44"/>
    </row>
    <row r="363" spans="1:13" ht="45" customHeight="1" thickBot="1" x14ac:dyDescent="0.3">
      <c r="A363" s="3"/>
      <c r="B363" s="7"/>
      <c r="C363" s="2"/>
      <c r="D363" s="2"/>
      <c r="E363" s="7"/>
      <c r="F363" s="2"/>
      <c r="G363" s="2"/>
      <c r="H363" s="7"/>
      <c r="I363" s="4"/>
      <c r="J363" s="4"/>
      <c r="K363" s="4"/>
      <c r="L363" s="11"/>
      <c r="M363" s="44"/>
    </row>
    <row r="364" spans="1:13" ht="45" customHeight="1" thickBot="1" x14ac:dyDescent="0.3">
      <c r="A364" s="3"/>
      <c r="B364" s="7"/>
      <c r="C364" s="2"/>
      <c r="D364" s="2"/>
      <c r="E364" s="7"/>
      <c r="F364" s="2"/>
      <c r="G364" s="2"/>
      <c r="H364" s="7"/>
      <c r="I364" s="4"/>
      <c r="J364" s="4"/>
      <c r="K364" s="4"/>
      <c r="L364" s="11"/>
      <c r="M364" s="44"/>
    </row>
    <row r="365" spans="1:13" ht="45" customHeight="1" thickBot="1" x14ac:dyDescent="0.3">
      <c r="A365" s="3"/>
      <c r="B365" s="7"/>
      <c r="C365" s="2"/>
      <c r="D365" s="2"/>
      <c r="E365" s="7"/>
      <c r="F365" s="2"/>
      <c r="G365" s="2"/>
      <c r="H365" s="7"/>
      <c r="I365" s="4"/>
      <c r="J365" s="4"/>
      <c r="K365" s="4"/>
      <c r="L365" s="11"/>
      <c r="M365" s="44"/>
    </row>
    <row r="366" spans="1:13" ht="45" customHeight="1" thickBot="1" x14ac:dyDescent="0.3">
      <c r="A366" s="3"/>
      <c r="B366" s="7"/>
      <c r="C366" s="2"/>
      <c r="D366" s="2"/>
      <c r="E366" s="7"/>
      <c r="F366" s="2"/>
      <c r="G366" s="2"/>
      <c r="H366" s="7"/>
      <c r="I366" s="4"/>
      <c r="J366" s="4"/>
      <c r="K366" s="4"/>
      <c r="L366" s="11"/>
      <c r="M366" s="44"/>
    </row>
    <row r="367" spans="1:13" ht="45" customHeight="1" thickBot="1" x14ac:dyDescent="0.3">
      <c r="A367" s="3"/>
      <c r="B367" s="7"/>
      <c r="C367" s="2"/>
      <c r="D367" s="2"/>
      <c r="E367" s="7"/>
      <c r="F367" s="2"/>
      <c r="G367" s="2"/>
      <c r="H367" s="7"/>
      <c r="I367" s="4"/>
      <c r="J367" s="4"/>
      <c r="K367" s="4"/>
      <c r="L367" s="11"/>
      <c r="M367" s="44"/>
    </row>
    <row r="368" spans="1:13" ht="45" customHeight="1" thickBot="1" x14ac:dyDescent="0.3">
      <c r="A368" s="3"/>
      <c r="B368" s="7"/>
      <c r="C368" s="2"/>
      <c r="D368" s="2"/>
      <c r="E368" s="7"/>
      <c r="F368" s="2"/>
      <c r="G368" s="2"/>
      <c r="H368" s="7"/>
      <c r="I368" s="4"/>
      <c r="J368" s="4"/>
      <c r="K368" s="4"/>
      <c r="L368" s="11"/>
      <c r="M368" s="44"/>
    </row>
    <row r="369" spans="1:13" ht="45" customHeight="1" thickBot="1" x14ac:dyDescent="0.3">
      <c r="A369" s="3"/>
      <c r="B369" s="7"/>
      <c r="C369" s="2"/>
      <c r="D369" s="2"/>
      <c r="E369" s="7"/>
      <c r="F369" s="2"/>
      <c r="G369" s="2"/>
      <c r="H369" s="7"/>
      <c r="I369" s="4"/>
      <c r="J369" s="4"/>
      <c r="K369" s="4"/>
      <c r="L369" s="11"/>
      <c r="M369" s="44"/>
    </row>
    <row r="370" spans="1:13" ht="45" customHeight="1" thickBot="1" x14ac:dyDescent="0.3">
      <c r="A370" s="3"/>
      <c r="B370" s="7"/>
      <c r="C370" s="2"/>
      <c r="D370" s="2"/>
      <c r="E370" s="7"/>
      <c r="F370" s="2"/>
      <c r="G370" s="2"/>
      <c r="H370" s="7"/>
      <c r="I370" s="4"/>
      <c r="J370" s="4"/>
      <c r="K370" s="4"/>
      <c r="L370" s="11"/>
      <c r="M370" s="44"/>
    </row>
    <row r="371" spans="1:13" ht="45" customHeight="1" thickBot="1" x14ac:dyDescent="0.3">
      <c r="A371" s="3"/>
      <c r="B371" s="7"/>
      <c r="C371" s="2"/>
      <c r="D371" s="2"/>
      <c r="E371" s="7"/>
      <c r="F371" s="2"/>
      <c r="G371" s="2"/>
      <c r="H371" s="7"/>
      <c r="I371" s="4"/>
      <c r="J371" s="4"/>
      <c r="K371" s="4"/>
      <c r="L371" s="11"/>
      <c r="M371" s="44"/>
    </row>
    <row r="372" spans="1:13" ht="45" customHeight="1" thickBot="1" x14ac:dyDescent="0.3">
      <c r="A372" s="3"/>
      <c r="B372" s="7"/>
      <c r="C372" s="2"/>
      <c r="D372" s="2"/>
      <c r="E372" s="7"/>
      <c r="F372" s="2"/>
      <c r="G372" s="2"/>
      <c r="H372" s="7"/>
      <c r="I372" s="4"/>
      <c r="J372" s="4"/>
      <c r="K372" s="4"/>
      <c r="L372" s="11"/>
      <c r="M372" s="44"/>
    </row>
    <row r="373" spans="1:13" ht="45" customHeight="1" thickBot="1" x14ac:dyDescent="0.3">
      <c r="A373" s="3"/>
      <c r="B373" s="7"/>
      <c r="C373" s="2"/>
      <c r="D373" s="2"/>
      <c r="E373" s="7"/>
      <c r="F373" s="2"/>
      <c r="G373" s="2"/>
      <c r="H373" s="7"/>
      <c r="I373" s="4"/>
      <c r="J373" s="4"/>
      <c r="K373" s="4"/>
      <c r="L373" s="11"/>
      <c r="M373" s="44"/>
    </row>
    <row r="374" spans="1:13" ht="45" customHeight="1" thickBot="1" x14ac:dyDescent="0.3">
      <c r="A374" s="3"/>
      <c r="B374" s="7"/>
      <c r="C374" s="2"/>
      <c r="D374" s="2"/>
      <c r="E374" s="7"/>
      <c r="F374" s="2"/>
      <c r="G374" s="2"/>
      <c r="H374" s="7"/>
      <c r="I374" s="4"/>
      <c r="J374" s="4"/>
      <c r="K374" s="4"/>
      <c r="L374" s="11"/>
      <c r="M374" s="44"/>
    </row>
    <row r="375" spans="1:13" ht="45" customHeight="1" thickBot="1" x14ac:dyDescent="0.3">
      <c r="A375" s="3"/>
      <c r="B375" s="7"/>
      <c r="C375" s="2"/>
      <c r="D375" s="2"/>
      <c r="E375" s="7"/>
      <c r="F375" s="2"/>
      <c r="G375" s="2"/>
      <c r="H375" s="7"/>
      <c r="I375" s="4"/>
      <c r="J375" s="4"/>
      <c r="K375" s="4"/>
      <c r="L375" s="11"/>
      <c r="M375" s="44"/>
    </row>
    <row r="376" spans="1:13" ht="45" customHeight="1" thickBot="1" x14ac:dyDescent="0.3">
      <c r="A376" s="3"/>
      <c r="B376" s="7"/>
      <c r="C376" s="2"/>
      <c r="D376" s="2"/>
      <c r="E376" s="7"/>
      <c r="F376" s="2"/>
      <c r="G376" s="2"/>
      <c r="H376" s="7"/>
      <c r="I376" s="4"/>
      <c r="J376" s="4"/>
      <c r="K376" s="4"/>
      <c r="L376" s="11"/>
      <c r="M376" s="44"/>
    </row>
    <row r="377" spans="1:13" ht="45" customHeight="1" thickBot="1" x14ac:dyDescent="0.3">
      <c r="A377" s="3"/>
      <c r="B377" s="7"/>
      <c r="C377" s="2"/>
      <c r="D377" s="2"/>
      <c r="E377" s="7"/>
      <c r="F377" s="2"/>
      <c r="G377" s="2"/>
      <c r="H377" s="7"/>
      <c r="I377" s="4"/>
      <c r="J377" s="4"/>
      <c r="K377" s="4"/>
      <c r="L377" s="11"/>
      <c r="M377" s="44"/>
    </row>
    <row r="378" spans="1:13" ht="45" customHeight="1" thickBot="1" x14ac:dyDescent="0.3">
      <c r="A378" s="3"/>
      <c r="B378" s="7"/>
      <c r="C378" s="2"/>
      <c r="D378" s="2"/>
      <c r="E378" s="7"/>
      <c r="F378" s="2"/>
      <c r="G378" s="2"/>
      <c r="H378" s="7"/>
      <c r="I378" s="4"/>
      <c r="J378" s="4"/>
      <c r="K378" s="4"/>
      <c r="L378" s="11"/>
      <c r="M378" s="44"/>
    </row>
    <row r="379" spans="1:13" ht="45" customHeight="1" thickBot="1" x14ac:dyDescent="0.3">
      <c r="A379" s="3"/>
      <c r="B379" s="7"/>
      <c r="C379" s="2"/>
      <c r="D379" s="2"/>
      <c r="E379" s="7"/>
      <c r="F379" s="2"/>
      <c r="G379" s="2"/>
      <c r="H379" s="7"/>
      <c r="I379" s="4"/>
      <c r="J379" s="4"/>
      <c r="K379" s="4"/>
      <c r="L379" s="11"/>
      <c r="M379" s="44"/>
    </row>
    <row r="380" spans="1:13" ht="45" customHeight="1" thickBot="1" x14ac:dyDescent="0.3">
      <c r="A380" s="3"/>
      <c r="B380" s="7"/>
      <c r="C380" s="2"/>
      <c r="D380" s="2"/>
      <c r="E380" s="7"/>
      <c r="F380" s="2"/>
      <c r="G380" s="2"/>
      <c r="H380" s="7"/>
      <c r="I380" s="4"/>
      <c r="J380" s="4"/>
      <c r="K380" s="4"/>
      <c r="L380" s="11"/>
      <c r="M380" s="44"/>
    </row>
    <row r="381" spans="1:13" ht="45" customHeight="1" thickBot="1" x14ac:dyDescent="0.3">
      <c r="A381" s="3"/>
      <c r="B381" s="7"/>
      <c r="C381" s="2"/>
      <c r="D381" s="2"/>
      <c r="E381" s="7"/>
      <c r="F381" s="2"/>
      <c r="G381" s="2"/>
      <c r="H381" s="7"/>
      <c r="I381" s="4"/>
      <c r="J381" s="4"/>
      <c r="K381" s="4"/>
      <c r="L381" s="11"/>
      <c r="M381" s="44"/>
    </row>
    <row r="382" spans="1:13" ht="45" customHeight="1" thickBot="1" x14ac:dyDescent="0.3">
      <c r="A382" s="3"/>
      <c r="B382" s="7"/>
      <c r="C382" s="2"/>
      <c r="D382" s="2"/>
      <c r="E382" s="7"/>
      <c r="F382" s="2"/>
      <c r="G382" s="2"/>
      <c r="H382" s="7"/>
      <c r="I382" s="4"/>
      <c r="J382" s="4"/>
      <c r="K382" s="4"/>
      <c r="L382" s="11"/>
      <c r="M382" s="44"/>
    </row>
    <row r="383" spans="1:13" ht="45" customHeight="1" thickBot="1" x14ac:dyDescent="0.3">
      <c r="A383" s="3"/>
      <c r="B383" s="7"/>
      <c r="C383" s="2"/>
      <c r="D383" s="2"/>
      <c r="E383" s="7"/>
      <c r="F383" s="2"/>
      <c r="G383" s="2"/>
      <c r="H383" s="7"/>
      <c r="I383" s="4"/>
      <c r="J383" s="4"/>
      <c r="K383" s="4"/>
      <c r="L383" s="11"/>
      <c r="M383" s="44"/>
    </row>
    <row r="384" spans="1:13" ht="45" customHeight="1" thickBot="1" x14ac:dyDescent="0.3">
      <c r="A384" s="3"/>
      <c r="B384" s="7"/>
      <c r="C384" s="2"/>
      <c r="D384" s="2"/>
      <c r="E384" s="7"/>
      <c r="F384" s="2"/>
      <c r="G384" s="2"/>
      <c r="H384" s="7"/>
      <c r="I384" s="4"/>
      <c r="J384" s="4"/>
      <c r="K384" s="4"/>
      <c r="L384" s="11"/>
      <c r="M384" s="44"/>
    </row>
    <row r="385" spans="1:13" ht="45" customHeight="1" thickBot="1" x14ac:dyDescent="0.3">
      <c r="A385" s="3"/>
      <c r="B385" s="7"/>
      <c r="C385" s="2"/>
      <c r="D385" s="2"/>
      <c r="E385" s="7"/>
      <c r="F385" s="2"/>
      <c r="G385" s="2"/>
      <c r="H385" s="7"/>
      <c r="I385" s="4"/>
      <c r="J385" s="4"/>
      <c r="K385" s="4"/>
      <c r="L385" s="11"/>
      <c r="M385" s="44"/>
    </row>
    <row r="386" spans="1:13" ht="45" customHeight="1" thickBot="1" x14ac:dyDescent="0.3">
      <c r="A386" s="3"/>
      <c r="B386" s="7"/>
      <c r="C386" s="2"/>
      <c r="D386" s="2"/>
      <c r="E386" s="7"/>
      <c r="F386" s="2"/>
      <c r="G386" s="2"/>
      <c r="H386" s="7"/>
      <c r="I386" s="4"/>
      <c r="J386" s="4"/>
      <c r="K386" s="4"/>
      <c r="L386" s="11"/>
      <c r="M386" s="44"/>
    </row>
    <row r="387" spans="1:13" ht="45" customHeight="1" thickBot="1" x14ac:dyDescent="0.3">
      <c r="A387" s="3"/>
      <c r="B387" s="7"/>
      <c r="C387" s="2"/>
      <c r="D387" s="2"/>
      <c r="E387" s="7"/>
      <c r="F387" s="2"/>
      <c r="G387" s="2"/>
      <c r="H387" s="7"/>
      <c r="I387" s="4"/>
      <c r="J387" s="4"/>
      <c r="K387" s="4"/>
      <c r="L387" s="11"/>
      <c r="M387" s="44"/>
    </row>
    <row r="388" spans="1:13" ht="45" customHeight="1" thickBot="1" x14ac:dyDescent="0.3">
      <c r="A388" s="3"/>
      <c r="B388" s="7"/>
      <c r="C388" s="2"/>
      <c r="D388" s="2"/>
      <c r="E388" s="7"/>
      <c r="F388" s="2"/>
      <c r="G388" s="2"/>
      <c r="H388" s="7"/>
      <c r="I388" s="4"/>
      <c r="J388" s="4"/>
      <c r="K388" s="4"/>
      <c r="L388" s="11"/>
      <c r="M388" s="44"/>
    </row>
    <row r="389" spans="1:13" ht="45" customHeight="1" thickBot="1" x14ac:dyDescent="0.3">
      <c r="A389" s="3"/>
      <c r="B389" s="7"/>
      <c r="C389" s="2"/>
      <c r="D389" s="2"/>
      <c r="E389" s="7"/>
      <c r="F389" s="2"/>
      <c r="G389" s="2"/>
      <c r="H389" s="7"/>
      <c r="I389" s="4"/>
      <c r="J389" s="4"/>
      <c r="K389" s="4"/>
      <c r="L389" s="11"/>
      <c r="M389" s="44"/>
    </row>
    <row r="390" spans="1:13" ht="45" customHeight="1" thickBot="1" x14ac:dyDescent="0.3">
      <c r="A390" s="3"/>
      <c r="B390" s="7"/>
      <c r="C390" s="4"/>
      <c r="D390" s="2"/>
      <c r="E390" s="7"/>
      <c r="F390" s="2"/>
      <c r="G390" s="2"/>
      <c r="H390" s="7"/>
      <c r="I390" s="4"/>
      <c r="J390" s="4"/>
      <c r="K390" s="4"/>
      <c r="L390" s="11"/>
      <c r="M390" s="44"/>
    </row>
    <row r="391" spans="1:13" ht="45" customHeight="1" thickBot="1" x14ac:dyDescent="0.3">
      <c r="A391" s="3"/>
      <c r="B391" s="7"/>
      <c r="C391" s="4"/>
      <c r="D391" s="2"/>
      <c r="E391" s="7"/>
      <c r="F391" s="2"/>
      <c r="G391" s="2"/>
      <c r="H391" s="7"/>
      <c r="I391" s="4"/>
      <c r="J391" s="4"/>
      <c r="K391" s="4"/>
      <c r="L391" s="11"/>
      <c r="M391" s="44"/>
    </row>
    <row r="392" spans="1:13" s="8" customFormat="1" ht="45" customHeight="1" thickBot="1" x14ac:dyDescent="0.3">
      <c r="A392" s="3"/>
      <c r="B392" s="7"/>
      <c r="C392" s="2"/>
      <c r="D392" s="10"/>
      <c r="E392" s="7"/>
      <c r="F392" s="7"/>
      <c r="G392" s="7"/>
      <c r="H392" s="4"/>
      <c r="I392" s="4"/>
      <c r="J392" s="2"/>
      <c r="K392" s="2"/>
      <c r="L392" s="12"/>
      <c r="M392" s="6"/>
    </row>
    <row r="393" spans="1:13" s="8" customFormat="1" ht="45" customHeight="1" thickBot="1" x14ac:dyDescent="0.3">
      <c r="A393" s="3"/>
      <c r="B393" s="7"/>
      <c r="C393" s="2"/>
      <c r="D393" s="10"/>
      <c r="E393" s="7"/>
      <c r="F393" s="7"/>
      <c r="G393" s="7"/>
      <c r="H393" s="4"/>
      <c r="I393" s="4"/>
      <c r="J393" s="2"/>
      <c r="K393" s="2"/>
      <c r="L393" s="12"/>
      <c r="M393" s="6"/>
    </row>
    <row r="394" spans="1:13" s="8" customFormat="1" ht="45" customHeight="1" thickBot="1" x14ac:dyDescent="0.3">
      <c r="A394" s="3"/>
      <c r="B394" s="7"/>
      <c r="C394" s="2"/>
      <c r="D394" s="2"/>
      <c r="E394" s="7"/>
      <c r="F394" s="7"/>
      <c r="G394" s="7"/>
      <c r="H394" s="4"/>
      <c r="I394" s="4"/>
      <c r="J394" s="2"/>
      <c r="K394" s="2"/>
      <c r="L394" s="12"/>
      <c r="M394" s="6"/>
    </row>
    <row r="395" spans="1:13" s="8" customFormat="1" ht="45" customHeight="1" thickBot="1" x14ac:dyDescent="0.3">
      <c r="A395" s="3"/>
      <c r="B395" s="7"/>
      <c r="C395" s="2"/>
      <c r="D395" s="2"/>
      <c r="E395" s="7"/>
      <c r="F395" s="7"/>
      <c r="G395" s="7"/>
      <c r="H395" s="4"/>
      <c r="I395" s="4"/>
      <c r="J395" s="2"/>
      <c r="K395" s="2"/>
      <c r="L395" s="12"/>
      <c r="M395" s="6"/>
    </row>
    <row r="396" spans="1:13" s="8" customFormat="1" ht="45" customHeight="1" thickBot="1" x14ac:dyDescent="0.3">
      <c r="A396" s="3"/>
      <c r="B396" s="7"/>
      <c r="C396" s="2"/>
      <c r="D396" s="15"/>
      <c r="E396" s="7"/>
      <c r="F396" s="2"/>
      <c r="G396" s="2"/>
      <c r="H396" s="2"/>
      <c r="I396" s="4"/>
      <c r="J396" s="2"/>
      <c r="K396" s="2"/>
      <c r="L396" s="12"/>
      <c r="M396" s="6"/>
    </row>
    <row r="397" spans="1:13" s="8" customFormat="1" ht="45" customHeight="1" thickBot="1" x14ac:dyDescent="0.3">
      <c r="A397" s="3"/>
      <c r="B397" s="7"/>
      <c r="C397" s="2"/>
      <c r="D397" s="15"/>
      <c r="E397" s="2"/>
      <c r="F397" s="2"/>
      <c r="G397" s="2"/>
      <c r="H397" s="2"/>
      <c r="I397" s="4"/>
      <c r="J397" s="2"/>
      <c r="K397" s="2"/>
      <c r="L397" s="12"/>
      <c r="M397" s="6"/>
    </row>
    <row r="398" spans="1:13" s="8" customFormat="1" ht="45" customHeight="1" thickBot="1" x14ac:dyDescent="0.3">
      <c r="A398" s="3"/>
      <c r="B398" s="7"/>
      <c r="C398" s="2"/>
      <c r="D398" s="15"/>
      <c r="E398" s="2"/>
      <c r="F398" s="2"/>
      <c r="G398" s="2"/>
      <c r="H398" s="2"/>
      <c r="I398" s="4"/>
      <c r="J398" s="2"/>
      <c r="K398" s="2"/>
      <c r="L398" s="12"/>
      <c r="M398" s="6"/>
    </row>
    <row r="399" spans="1:13" s="8" customFormat="1" ht="45" customHeight="1" thickBot="1" x14ac:dyDescent="0.3">
      <c r="A399" s="3"/>
      <c r="B399" s="7"/>
      <c r="C399" s="2"/>
      <c r="D399" s="15"/>
      <c r="E399" s="2"/>
      <c r="F399" s="2"/>
      <c r="G399" s="2"/>
      <c r="H399" s="2"/>
      <c r="I399" s="4"/>
      <c r="J399" s="2"/>
      <c r="K399" s="2"/>
      <c r="L399" s="12"/>
      <c r="M399" s="6"/>
    </row>
    <row r="400" spans="1:13" s="8" customFormat="1" ht="45" customHeight="1" thickBot="1" x14ac:dyDescent="0.3">
      <c r="A400" s="3"/>
      <c r="B400" s="7"/>
      <c r="C400" s="2"/>
      <c r="D400" s="15"/>
      <c r="E400" s="2"/>
      <c r="F400" s="2"/>
      <c r="G400" s="2"/>
      <c r="H400" s="2"/>
      <c r="I400" s="4"/>
      <c r="J400" s="2"/>
      <c r="K400" s="2"/>
      <c r="L400" s="12"/>
      <c r="M400" s="6"/>
    </row>
    <row r="401" spans="1:13" s="8" customFormat="1" ht="45" customHeight="1" thickBot="1" x14ac:dyDescent="0.3">
      <c r="A401" s="3"/>
      <c r="B401" s="2" t="s">
        <v>18</v>
      </c>
      <c r="C401" s="2"/>
      <c r="D401" s="2"/>
      <c r="E401" s="2"/>
      <c r="F401" s="2"/>
      <c r="G401" s="2"/>
      <c r="H401" s="2"/>
      <c r="I401" s="2" t="s">
        <v>4</v>
      </c>
      <c r="J401" s="2">
        <f>SUM(J7:J400)</f>
        <v>0</v>
      </c>
      <c r="K401" s="2"/>
      <c r="L401" s="12"/>
      <c r="M401" s="6"/>
    </row>
  </sheetData>
  <autoFilter ref="A5:M6" xr:uid="{00000000-0009-0000-0000-000003000000}"/>
  <mergeCells count="16">
    <mergeCell ref="M5:M6"/>
    <mergeCell ref="A1:M2"/>
    <mergeCell ref="A3:M3"/>
    <mergeCell ref="A4:M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7" type="noConversion"/>
  <pageMargins left="0.7" right="0.7" top="0.75" bottom="0.75" header="0.3" footer="0.3"/>
  <pageSetup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00"/>
  <sheetViews>
    <sheetView view="pageBreakPreview" topLeftCell="A4" zoomScaleNormal="100" zoomScaleSheetLayoutView="100" workbookViewId="0">
      <pane xSplit="2" ySplit="3" topLeftCell="C7" activePane="bottomRight" state="frozen"/>
      <selection activeCell="A4" sqref="A4"/>
      <selection pane="topRight" activeCell="C4" sqref="C4"/>
      <selection pane="bottomLeft" activeCell="A7" sqref="A7"/>
      <selection pane="bottomRight" activeCell="D10" sqref="D10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2.140625" style="1" bestFit="1" customWidth="1"/>
    <col min="4" max="4" width="33.5703125" style="1" customWidth="1"/>
    <col min="5" max="5" width="28" style="1" bestFit="1" customWidth="1"/>
    <col min="6" max="6" width="10.7109375" style="1" bestFit="1" customWidth="1"/>
    <col min="7" max="7" width="10.7109375" style="1" customWidth="1"/>
    <col min="8" max="8" width="25.28515625" style="1" bestFit="1" customWidth="1"/>
    <col min="9" max="9" width="9.140625" style="1"/>
    <col min="10" max="10" width="20.7109375" style="1" customWidth="1"/>
    <col min="11" max="12" width="20.7109375" style="1" hidden="1" customWidth="1"/>
    <col min="13" max="13" width="21.5703125" style="1" customWidth="1"/>
    <col min="14" max="16384" width="9.140625" style="1"/>
  </cols>
  <sheetData>
    <row r="1" spans="1:13" x14ac:dyDescent="0.25">
      <c r="A1" s="68"/>
      <c r="B1" s="69"/>
      <c r="C1" s="69"/>
      <c r="D1" s="69"/>
      <c r="E1" s="69"/>
      <c r="F1" s="69"/>
      <c r="G1" s="69"/>
      <c r="H1" s="69"/>
      <c r="I1" s="69"/>
      <c r="J1" s="69"/>
      <c r="K1" s="70"/>
      <c r="L1" s="70"/>
      <c r="M1" s="71"/>
    </row>
    <row r="2" spans="1:13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  <c r="L2" s="74"/>
      <c r="M2" s="75"/>
    </row>
    <row r="3" spans="1:13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6" t="s">
        <v>308</v>
      </c>
      <c r="H5" s="84" t="s">
        <v>27</v>
      </c>
      <c r="I5" s="86" t="s">
        <v>312</v>
      </c>
      <c r="J5" s="86" t="s">
        <v>24</v>
      </c>
      <c r="K5" s="86" t="s">
        <v>24</v>
      </c>
      <c r="L5" s="86" t="s">
        <v>25</v>
      </c>
      <c r="M5" s="66" t="s">
        <v>3</v>
      </c>
    </row>
    <row r="6" spans="1:13" ht="18" customHeight="1" thickBot="1" x14ac:dyDescent="0.3">
      <c r="A6" s="83"/>
      <c r="B6" s="85"/>
      <c r="C6" s="85"/>
      <c r="D6" s="85"/>
      <c r="E6" s="85"/>
      <c r="F6" s="85"/>
      <c r="G6" s="87"/>
      <c r="H6" s="85"/>
      <c r="I6" s="87"/>
      <c r="J6" s="87"/>
      <c r="K6" s="87"/>
      <c r="L6" s="87"/>
      <c r="M6" s="67"/>
    </row>
    <row r="7" spans="1:13" s="8" customFormat="1" ht="45" customHeight="1" thickBot="1" x14ac:dyDescent="0.3">
      <c r="A7" s="3"/>
      <c r="B7" s="7" t="s">
        <v>426</v>
      </c>
      <c r="C7" s="2" t="s">
        <v>331</v>
      </c>
      <c r="D7" s="16" t="s">
        <v>383</v>
      </c>
      <c r="E7" s="2" t="s">
        <v>311</v>
      </c>
      <c r="F7" s="2" t="s">
        <v>427</v>
      </c>
      <c r="G7" s="2">
        <v>1</v>
      </c>
      <c r="H7" s="4" t="s">
        <v>319</v>
      </c>
      <c r="I7" s="2">
        <v>4789.6400000000003</v>
      </c>
      <c r="J7" s="2" t="s">
        <v>154</v>
      </c>
      <c r="K7" s="12"/>
      <c r="L7" s="6"/>
    </row>
    <row r="8" spans="1:13" s="8" customFormat="1" ht="45" customHeight="1" thickBot="1" x14ac:dyDescent="0.3">
      <c r="A8" s="3"/>
      <c r="B8" s="7" t="s">
        <v>426</v>
      </c>
      <c r="C8" s="2" t="s">
        <v>331</v>
      </c>
      <c r="D8" s="16" t="s">
        <v>383</v>
      </c>
      <c r="E8" s="2" t="s">
        <v>311</v>
      </c>
      <c r="F8" s="2" t="s">
        <v>482</v>
      </c>
      <c r="G8" s="2">
        <v>3</v>
      </c>
      <c r="H8" s="4" t="s">
        <v>488</v>
      </c>
      <c r="I8" s="2">
        <v>347.52</v>
      </c>
      <c r="J8" s="2" t="s">
        <v>490</v>
      </c>
      <c r="K8" s="12"/>
      <c r="L8" s="6"/>
    </row>
    <row r="9" spans="1:13" s="8" customFormat="1" ht="45" customHeight="1" thickBot="1" x14ac:dyDescent="0.3">
      <c r="A9" s="3"/>
      <c r="B9" s="7"/>
      <c r="C9" s="2"/>
      <c r="D9" s="16"/>
      <c r="E9" s="2"/>
      <c r="F9" s="2"/>
      <c r="G9" s="2"/>
      <c r="H9" s="4"/>
      <c r="I9" s="2"/>
      <c r="J9" s="2"/>
      <c r="K9" s="12"/>
      <c r="L9" s="6"/>
    </row>
    <row r="10" spans="1:13" s="8" customFormat="1" ht="45" customHeight="1" thickBot="1" x14ac:dyDescent="0.3">
      <c r="A10" s="3"/>
      <c r="B10" s="7"/>
      <c r="C10" s="2"/>
      <c r="D10" s="16"/>
      <c r="E10" s="2"/>
      <c r="F10" s="2"/>
      <c r="G10" s="2"/>
      <c r="H10" s="4"/>
      <c r="I10" s="2"/>
      <c r="J10" s="2"/>
      <c r="K10" s="12"/>
      <c r="L10" s="6"/>
    </row>
    <row r="11" spans="1:13" s="8" customFormat="1" ht="45" customHeight="1" thickBot="1" x14ac:dyDescent="0.3">
      <c r="A11" s="3"/>
      <c r="B11" s="7"/>
      <c r="C11" s="2"/>
      <c r="D11" s="16"/>
      <c r="E11" s="2"/>
      <c r="F11" s="2"/>
      <c r="G11" s="2"/>
      <c r="H11" s="4"/>
      <c r="I11" s="2"/>
      <c r="J11" s="2"/>
      <c r="K11" s="12"/>
      <c r="L11" s="6"/>
    </row>
    <row r="12" spans="1:13" s="8" customFormat="1" ht="45" customHeight="1" thickBot="1" x14ac:dyDescent="0.3">
      <c r="A12" s="3"/>
      <c r="B12" s="7"/>
      <c r="C12" s="2"/>
      <c r="D12" s="16"/>
      <c r="E12" s="2"/>
      <c r="F12" s="2"/>
      <c r="G12" s="2"/>
      <c r="H12" s="4"/>
      <c r="I12" s="2"/>
      <c r="J12" s="2"/>
      <c r="K12" s="12"/>
      <c r="L12" s="6"/>
    </row>
    <row r="13" spans="1:13" s="8" customFormat="1" ht="45" customHeight="1" thickBot="1" x14ac:dyDescent="0.3">
      <c r="A13" s="3"/>
      <c r="B13" s="7"/>
      <c r="C13" s="2"/>
      <c r="D13" s="16"/>
      <c r="E13" s="2"/>
      <c r="F13" s="2"/>
      <c r="G13" s="2"/>
      <c r="H13" s="4"/>
      <c r="I13" s="2"/>
      <c r="J13" s="2"/>
      <c r="K13" s="12"/>
      <c r="L13" s="6"/>
    </row>
    <row r="14" spans="1:13" s="8" customFormat="1" ht="45" customHeight="1" thickBot="1" x14ac:dyDescent="0.3">
      <c r="A14" s="3"/>
      <c r="B14" s="7"/>
      <c r="C14" s="2"/>
      <c r="D14" s="16"/>
      <c r="E14" s="2"/>
      <c r="F14" s="2"/>
      <c r="G14" s="2"/>
      <c r="H14" s="4"/>
      <c r="I14" s="2"/>
      <c r="J14" s="2"/>
      <c r="K14" s="12"/>
      <c r="L14" s="6"/>
    </row>
    <row r="15" spans="1:13" s="8" customFormat="1" ht="45" customHeight="1" thickBot="1" x14ac:dyDescent="0.3">
      <c r="A15" s="3"/>
      <c r="B15" s="7"/>
      <c r="C15" s="2"/>
      <c r="D15" s="16"/>
      <c r="E15" s="2"/>
      <c r="F15" s="2"/>
      <c r="G15" s="2"/>
      <c r="H15" s="4"/>
      <c r="I15" s="2"/>
      <c r="J15" s="2"/>
      <c r="K15" s="12"/>
      <c r="L15" s="6"/>
    </row>
    <row r="16" spans="1:13" s="8" customFormat="1" ht="45" customHeight="1" thickBot="1" x14ac:dyDescent="0.3">
      <c r="A16" s="3"/>
      <c r="B16" s="7"/>
      <c r="C16" s="4"/>
      <c r="D16" s="2"/>
      <c r="E16" s="7"/>
      <c r="F16" s="2"/>
      <c r="G16" s="2"/>
      <c r="H16" s="7"/>
      <c r="I16" s="4"/>
      <c r="J16" s="2"/>
      <c r="K16" s="2"/>
      <c r="L16" s="12"/>
      <c r="M16" s="6"/>
    </row>
    <row r="17" spans="1:13" s="8" customFormat="1" ht="45" customHeight="1" thickBot="1" x14ac:dyDescent="0.3">
      <c r="A17" s="3"/>
      <c r="B17" s="7"/>
      <c r="C17" s="4"/>
      <c r="D17" s="2"/>
      <c r="E17" s="7"/>
      <c r="F17" s="2"/>
      <c r="G17" s="2"/>
      <c r="H17" s="7"/>
      <c r="I17" s="4"/>
      <c r="J17" s="2"/>
      <c r="K17" s="2"/>
      <c r="L17" s="12"/>
      <c r="M17" s="6"/>
    </row>
    <row r="18" spans="1:13" s="8" customFormat="1" ht="45" customHeight="1" thickBot="1" x14ac:dyDescent="0.3">
      <c r="A18" s="3"/>
      <c r="B18" s="7"/>
      <c r="C18" s="4"/>
      <c r="D18" s="10"/>
      <c r="E18" s="7"/>
      <c r="F18" s="2"/>
      <c r="G18" s="2"/>
      <c r="H18" s="7"/>
      <c r="I18" s="4"/>
      <c r="J18" s="2"/>
      <c r="K18" s="2"/>
      <c r="L18" s="12"/>
      <c r="M18" s="6"/>
    </row>
    <row r="19" spans="1:13" s="8" customFormat="1" ht="45" customHeight="1" thickBot="1" x14ac:dyDescent="0.3">
      <c r="A19" s="3"/>
      <c r="B19" s="7"/>
      <c r="C19" s="4"/>
      <c r="D19" s="14"/>
      <c r="E19" s="7"/>
      <c r="F19" s="2"/>
      <c r="G19" s="2"/>
      <c r="H19" s="7"/>
      <c r="I19" s="4"/>
      <c r="J19" s="2"/>
      <c r="K19" s="2"/>
      <c r="L19" s="12"/>
      <c r="M19" s="6"/>
    </row>
    <row r="20" spans="1:13" s="8" customFormat="1" ht="45" customHeight="1" thickBot="1" x14ac:dyDescent="0.3">
      <c r="A20" s="3"/>
      <c r="B20" s="7"/>
      <c r="C20" s="7"/>
      <c r="D20" s="14"/>
      <c r="E20" s="7"/>
      <c r="F20" s="2"/>
      <c r="G20" s="2"/>
      <c r="H20" s="7"/>
      <c r="I20" s="4"/>
      <c r="J20" s="2"/>
      <c r="K20" s="2"/>
      <c r="L20" s="12"/>
      <c r="M20" s="6"/>
    </row>
    <row r="21" spans="1:13" s="8" customFormat="1" ht="45" customHeight="1" thickBot="1" x14ac:dyDescent="0.3">
      <c r="A21" s="3"/>
      <c r="B21" s="7"/>
      <c r="C21" s="7"/>
      <c r="D21" s="2"/>
      <c r="E21" s="7"/>
      <c r="F21" s="2"/>
      <c r="G21" s="2"/>
      <c r="H21" s="7"/>
      <c r="I21" s="4"/>
      <c r="J21" s="2"/>
      <c r="K21" s="2"/>
      <c r="L21" s="12"/>
      <c r="M21" s="6"/>
    </row>
    <row r="22" spans="1:13" s="8" customFormat="1" ht="45" customHeight="1" thickBot="1" x14ac:dyDescent="0.3">
      <c r="A22" s="3"/>
      <c r="B22" s="7"/>
      <c r="C22" s="7"/>
      <c r="D22" s="2"/>
      <c r="E22" s="7"/>
      <c r="F22" s="2"/>
      <c r="G22" s="2"/>
      <c r="H22" s="7"/>
      <c r="I22" s="4"/>
      <c r="J22" s="2"/>
      <c r="K22" s="2"/>
      <c r="L22" s="12"/>
      <c r="M22" s="6"/>
    </row>
    <row r="23" spans="1:13" s="8" customFormat="1" ht="45" customHeight="1" thickBot="1" x14ac:dyDescent="0.3">
      <c r="A23" s="3"/>
      <c r="B23" s="7"/>
      <c r="C23" s="7"/>
      <c r="D23" s="13"/>
      <c r="E23" s="7"/>
      <c r="F23" s="2"/>
      <c r="G23" s="2"/>
      <c r="H23" s="7"/>
      <c r="I23" s="4"/>
      <c r="J23" s="2"/>
      <c r="K23" s="2"/>
      <c r="L23" s="12"/>
      <c r="M23" s="6"/>
    </row>
    <row r="24" spans="1:13" s="8" customFormat="1" ht="45" customHeight="1" thickBot="1" x14ac:dyDescent="0.3">
      <c r="A24" s="3"/>
      <c r="B24" s="7"/>
      <c r="C24" s="7"/>
      <c r="D24" s="2"/>
      <c r="E24" s="7"/>
      <c r="F24" s="2"/>
      <c r="G24" s="2"/>
      <c r="H24" s="7"/>
      <c r="I24" s="4"/>
      <c r="J24" s="2"/>
      <c r="K24" s="2"/>
      <c r="L24" s="12"/>
      <c r="M24" s="6"/>
    </row>
    <row r="25" spans="1:13" s="8" customFormat="1" ht="45" customHeight="1" thickBot="1" x14ac:dyDescent="0.3">
      <c r="A25" s="3"/>
      <c r="B25" s="7"/>
      <c r="C25" s="4"/>
      <c r="D25" s="2"/>
      <c r="E25" s="7"/>
      <c r="F25" s="2"/>
      <c r="G25" s="2"/>
      <c r="H25" s="7"/>
      <c r="I25" s="4"/>
      <c r="J25" s="2"/>
      <c r="K25" s="2"/>
      <c r="L25" s="12"/>
      <c r="M25" s="6"/>
    </row>
    <row r="26" spans="1:13" s="8" customFormat="1" ht="45" customHeight="1" thickBot="1" x14ac:dyDescent="0.3">
      <c r="A26" s="3"/>
      <c r="B26" s="7"/>
      <c r="C26" s="4"/>
      <c r="D26" s="2"/>
      <c r="E26" s="7"/>
      <c r="F26" s="2"/>
      <c r="G26" s="2"/>
      <c r="H26" s="7"/>
      <c r="I26" s="4"/>
      <c r="J26" s="2"/>
      <c r="K26" s="2"/>
      <c r="L26" s="12"/>
      <c r="M26" s="6"/>
    </row>
    <row r="27" spans="1:13" s="8" customFormat="1" ht="45" customHeight="1" thickBot="1" x14ac:dyDescent="0.3">
      <c r="A27" s="3"/>
      <c r="B27" s="7"/>
      <c r="C27" s="4"/>
      <c r="D27" s="2"/>
      <c r="E27" s="7"/>
      <c r="F27" s="2"/>
      <c r="G27" s="2"/>
      <c r="H27" s="7"/>
      <c r="I27" s="4"/>
      <c r="J27" s="2"/>
      <c r="K27" s="2"/>
      <c r="L27" s="12"/>
      <c r="M27" s="6"/>
    </row>
    <row r="28" spans="1:13" s="8" customFormat="1" ht="45" customHeight="1" thickBot="1" x14ac:dyDescent="0.3">
      <c r="A28" s="3"/>
      <c r="B28" s="7"/>
      <c r="C28" s="4"/>
      <c r="D28" s="2"/>
      <c r="E28" s="7"/>
      <c r="F28" s="2"/>
      <c r="G28" s="2"/>
      <c r="H28" s="7"/>
      <c r="I28" s="4"/>
      <c r="J28" s="2"/>
      <c r="K28" s="2"/>
      <c r="L28" s="12"/>
      <c r="M28" s="6"/>
    </row>
    <row r="29" spans="1:13" s="8" customFormat="1" ht="45" customHeight="1" thickBot="1" x14ac:dyDescent="0.3">
      <c r="A29" s="3"/>
      <c r="B29" s="7"/>
      <c r="C29" s="4"/>
      <c r="D29" s="2"/>
      <c r="E29" s="7"/>
      <c r="F29" s="2"/>
      <c r="G29" s="2"/>
      <c r="H29" s="7"/>
      <c r="I29" s="4"/>
      <c r="J29" s="2"/>
      <c r="K29" s="2"/>
      <c r="L29" s="12"/>
      <c r="M29" s="6"/>
    </row>
    <row r="30" spans="1:13" s="8" customFormat="1" ht="45" customHeight="1" thickBot="1" x14ac:dyDescent="0.3">
      <c r="A30" s="3"/>
      <c r="B30" s="7"/>
      <c r="C30" s="4"/>
      <c r="D30" s="16"/>
      <c r="E30" s="7"/>
      <c r="F30" s="2"/>
      <c r="G30" s="2"/>
      <c r="H30" s="7"/>
      <c r="I30" s="4"/>
      <c r="J30" s="2"/>
      <c r="K30" s="2"/>
      <c r="L30" s="12"/>
      <c r="M30" s="6"/>
    </row>
    <row r="31" spans="1:13" s="8" customFormat="1" ht="45" customHeight="1" thickBot="1" x14ac:dyDescent="0.3">
      <c r="A31" s="3"/>
      <c r="B31" s="7"/>
      <c r="C31" s="4"/>
      <c r="D31" s="16"/>
      <c r="E31" s="7"/>
      <c r="F31" s="2"/>
      <c r="G31" s="2"/>
      <c r="H31" s="7"/>
      <c r="I31" s="4"/>
      <c r="J31" s="2"/>
      <c r="K31" s="2"/>
      <c r="L31" s="12"/>
      <c r="M31" s="6"/>
    </row>
    <row r="32" spans="1:13" s="8" customFormat="1" ht="45" customHeight="1" thickBot="1" x14ac:dyDescent="0.3">
      <c r="A32" s="3"/>
      <c r="B32" s="7"/>
      <c r="C32" s="4"/>
      <c r="D32" s="15"/>
      <c r="E32" s="7"/>
      <c r="F32" s="2"/>
      <c r="G32" s="2"/>
      <c r="H32" s="7"/>
      <c r="I32" s="4"/>
      <c r="J32" s="2"/>
      <c r="K32" s="2"/>
      <c r="L32" s="12"/>
      <c r="M32" s="6"/>
    </row>
    <row r="33" spans="1:13" ht="45" customHeight="1" thickBot="1" x14ac:dyDescent="0.3">
      <c r="A33" s="3"/>
      <c r="B33" s="7"/>
      <c r="C33" s="4"/>
      <c r="D33" s="15"/>
      <c r="E33" s="7"/>
      <c r="F33" s="2"/>
      <c r="G33" s="2"/>
      <c r="H33" s="7"/>
      <c r="I33" s="4"/>
      <c r="J33" s="4"/>
      <c r="K33" s="4"/>
      <c r="L33" s="11"/>
      <c r="M33" s="5"/>
    </row>
    <row r="34" spans="1:13" ht="45" customHeight="1" thickBot="1" x14ac:dyDescent="0.3">
      <c r="A34" s="3"/>
      <c r="B34" s="7"/>
      <c r="C34" s="4"/>
      <c r="D34" s="15"/>
      <c r="E34" s="7"/>
      <c r="F34" s="2"/>
      <c r="G34" s="2"/>
      <c r="H34" s="7"/>
      <c r="I34" s="4"/>
      <c r="J34" s="4"/>
      <c r="K34" s="4"/>
      <c r="L34" s="11"/>
      <c r="M34" s="5"/>
    </row>
    <row r="35" spans="1:13" s="8" customFormat="1" ht="45" customHeight="1" thickBot="1" x14ac:dyDescent="0.3">
      <c r="A35" s="3"/>
      <c r="B35" s="7"/>
      <c r="C35" s="4"/>
      <c r="D35" s="15"/>
      <c r="E35" s="7"/>
      <c r="F35" s="2"/>
      <c r="G35" s="2"/>
      <c r="H35" s="7"/>
      <c r="I35" s="4"/>
      <c r="J35" s="2"/>
      <c r="K35" s="2"/>
      <c r="L35" s="12"/>
      <c r="M35" s="6"/>
    </row>
    <row r="36" spans="1:13" s="8" customFormat="1" ht="45" customHeight="1" thickBot="1" x14ac:dyDescent="0.3">
      <c r="A36" s="3"/>
      <c r="B36" s="7"/>
      <c r="C36" s="4"/>
      <c r="D36" s="15"/>
      <c r="E36" s="7"/>
      <c r="F36" s="2"/>
      <c r="G36" s="2"/>
      <c r="H36" s="7"/>
      <c r="I36" s="4"/>
      <c r="J36" s="2"/>
      <c r="K36" s="2"/>
      <c r="L36" s="12"/>
      <c r="M36" s="6"/>
    </row>
    <row r="37" spans="1:13" ht="45" customHeight="1" thickBot="1" x14ac:dyDescent="0.3">
      <c r="A37" s="9"/>
      <c r="B37" s="7"/>
      <c r="C37" s="4"/>
      <c r="D37" s="15"/>
      <c r="E37" s="7"/>
      <c r="F37" s="2"/>
      <c r="G37" s="2"/>
      <c r="H37" s="7"/>
      <c r="I37" s="4"/>
      <c r="J37" s="4"/>
      <c r="K37" s="4"/>
      <c r="L37" s="11"/>
      <c r="M37" s="5"/>
    </row>
    <row r="38" spans="1:13" ht="45" customHeight="1" thickBot="1" x14ac:dyDescent="0.3">
      <c r="A38" s="9"/>
      <c r="B38" s="7"/>
      <c r="C38" s="4"/>
      <c r="D38" s="15"/>
      <c r="E38" s="7"/>
      <c r="F38" s="2"/>
      <c r="G38" s="2"/>
      <c r="H38" s="7"/>
      <c r="I38" s="4"/>
      <c r="J38" s="4"/>
      <c r="K38" s="4"/>
      <c r="L38" s="11"/>
      <c r="M38" s="5"/>
    </row>
    <row r="39" spans="1:13" ht="45" customHeight="1" thickBot="1" x14ac:dyDescent="0.3">
      <c r="A39" s="9"/>
      <c r="B39" s="7"/>
      <c r="C39" s="4"/>
      <c r="D39" s="15"/>
      <c r="E39" s="7"/>
      <c r="F39" s="2"/>
      <c r="G39" s="2"/>
      <c r="H39" s="7"/>
      <c r="I39" s="4"/>
      <c r="J39" s="4"/>
      <c r="K39" s="4"/>
      <c r="L39" s="11"/>
      <c r="M39" s="5"/>
    </row>
    <row r="40" spans="1:13" ht="45" customHeight="1" thickBot="1" x14ac:dyDescent="0.3">
      <c r="A40" s="9"/>
      <c r="B40" s="7"/>
      <c r="C40" s="4"/>
      <c r="D40" s="15"/>
      <c r="E40" s="7"/>
      <c r="F40" s="2"/>
      <c r="G40" s="2"/>
      <c r="H40" s="7"/>
      <c r="I40" s="4"/>
      <c r="J40" s="4"/>
      <c r="K40" s="4"/>
      <c r="L40" s="11"/>
      <c r="M40" s="5"/>
    </row>
    <row r="41" spans="1:13" s="8" customFormat="1" ht="45" customHeight="1" thickBot="1" x14ac:dyDescent="0.3">
      <c r="A41" s="3"/>
      <c r="B41" s="7"/>
      <c r="C41" s="4"/>
      <c r="D41" s="15"/>
      <c r="E41" s="7"/>
      <c r="F41" s="2"/>
      <c r="G41" s="2"/>
      <c r="H41" s="7"/>
      <c r="I41" s="4"/>
      <c r="J41" s="4"/>
      <c r="K41" s="2"/>
      <c r="L41" s="12"/>
      <c r="M41" s="6"/>
    </row>
    <row r="42" spans="1:13" ht="45" customHeight="1" thickBot="1" x14ac:dyDescent="0.3">
      <c r="A42" s="9"/>
      <c r="B42" s="7"/>
      <c r="C42" s="4"/>
      <c r="D42" s="15"/>
      <c r="E42" s="7"/>
      <c r="F42" s="2"/>
      <c r="G42" s="2"/>
      <c r="H42" s="7"/>
      <c r="I42" s="4"/>
      <c r="J42" s="4"/>
      <c r="K42" s="4"/>
      <c r="L42" s="11"/>
      <c r="M42" s="5"/>
    </row>
    <row r="43" spans="1:13" ht="45" customHeight="1" thickBot="1" x14ac:dyDescent="0.3">
      <c r="A43" s="9"/>
      <c r="B43" s="7"/>
      <c r="C43" s="4"/>
      <c r="D43" s="15"/>
      <c r="E43" s="7"/>
      <c r="F43" s="2"/>
      <c r="G43" s="2"/>
      <c r="H43" s="7"/>
      <c r="I43" s="4"/>
      <c r="J43" s="4"/>
      <c r="K43" s="4"/>
      <c r="L43" s="11"/>
      <c r="M43" s="5"/>
    </row>
    <row r="44" spans="1:13" ht="45" customHeight="1" thickBot="1" x14ac:dyDescent="0.3">
      <c r="A44" s="9"/>
      <c r="B44" s="7"/>
      <c r="C44" s="4"/>
      <c r="D44" s="15"/>
      <c r="E44" s="7"/>
      <c r="F44" s="2"/>
      <c r="G44" s="2"/>
      <c r="H44" s="7"/>
      <c r="I44" s="4"/>
      <c r="J44" s="4"/>
      <c r="K44" s="4"/>
      <c r="L44" s="11"/>
      <c r="M44" s="5"/>
    </row>
    <row r="45" spans="1:13" ht="45" customHeight="1" thickBot="1" x14ac:dyDescent="0.3">
      <c r="A45" s="9"/>
      <c r="B45" s="7"/>
      <c r="C45" s="4"/>
      <c r="D45" s="15"/>
      <c r="E45" s="7"/>
      <c r="F45" s="2"/>
      <c r="G45" s="2"/>
      <c r="H45" s="7"/>
      <c r="I45" s="4"/>
      <c r="J45" s="4"/>
      <c r="K45" s="4"/>
      <c r="L45" s="11"/>
      <c r="M45" s="5"/>
    </row>
    <row r="46" spans="1:13" s="8" customFormat="1" ht="45" customHeight="1" thickBot="1" x14ac:dyDescent="0.3">
      <c r="A46" s="3"/>
      <c r="B46" s="7"/>
      <c r="C46" s="4"/>
      <c r="D46" s="15"/>
      <c r="E46" s="7"/>
      <c r="F46" s="2"/>
      <c r="G46" s="2"/>
      <c r="H46" s="7"/>
      <c r="I46" s="4"/>
      <c r="J46" s="2"/>
      <c r="K46" s="2"/>
      <c r="L46" s="12"/>
      <c r="M46" s="6"/>
    </row>
    <row r="47" spans="1:13" s="8" customFormat="1" ht="45" customHeight="1" thickBot="1" x14ac:dyDescent="0.3">
      <c r="A47" s="3"/>
      <c r="B47" s="7"/>
      <c r="C47" s="4"/>
      <c r="D47" s="15"/>
      <c r="E47" s="7"/>
      <c r="F47" s="2"/>
      <c r="G47" s="2"/>
      <c r="H47" s="7"/>
      <c r="I47" s="4"/>
      <c r="J47" s="2"/>
      <c r="K47" s="2"/>
      <c r="L47" s="12"/>
      <c r="M47" s="6"/>
    </row>
    <row r="48" spans="1:13" s="8" customFormat="1" ht="45" customHeight="1" thickBot="1" x14ac:dyDescent="0.3">
      <c r="A48" s="3"/>
      <c r="B48" s="7"/>
      <c r="C48" s="4"/>
      <c r="D48" s="15"/>
      <c r="E48" s="7"/>
      <c r="F48" s="2"/>
      <c r="G48" s="2"/>
      <c r="H48" s="7"/>
      <c r="I48" s="4"/>
      <c r="J48" s="2"/>
      <c r="K48" s="2"/>
      <c r="L48" s="12"/>
      <c r="M48" s="6"/>
    </row>
    <row r="49" spans="1:13" s="8" customFormat="1" ht="45" customHeight="1" thickBot="1" x14ac:dyDescent="0.3">
      <c r="A49" s="3"/>
      <c r="B49" s="7"/>
      <c r="C49" s="4"/>
      <c r="D49" s="15"/>
      <c r="E49" s="7"/>
      <c r="F49" s="2"/>
      <c r="G49" s="2"/>
      <c r="H49" s="7"/>
      <c r="I49" s="4"/>
      <c r="J49" s="2"/>
      <c r="K49" s="2"/>
      <c r="L49" s="12"/>
      <c r="M49" s="6"/>
    </row>
    <row r="50" spans="1:13" s="8" customFormat="1" ht="45" customHeight="1" thickBot="1" x14ac:dyDescent="0.3">
      <c r="A50" s="3"/>
      <c r="B50" s="7"/>
      <c r="C50" s="4"/>
      <c r="D50" s="15"/>
      <c r="E50" s="7"/>
      <c r="F50" s="2"/>
      <c r="G50" s="2"/>
      <c r="H50" s="7"/>
      <c r="I50" s="4"/>
      <c r="J50" s="2"/>
      <c r="K50" s="2"/>
      <c r="L50" s="12"/>
      <c r="M50" s="6"/>
    </row>
    <row r="51" spans="1:13" s="8" customFormat="1" ht="45" customHeight="1" thickBot="1" x14ac:dyDescent="0.3">
      <c r="A51" s="3"/>
      <c r="B51" s="7"/>
      <c r="C51" s="4"/>
      <c r="D51" s="15"/>
      <c r="E51" s="7"/>
      <c r="F51" s="2"/>
      <c r="G51" s="2"/>
      <c r="H51" s="7"/>
      <c r="I51" s="4"/>
      <c r="J51" s="2"/>
      <c r="K51" s="2"/>
      <c r="L51" s="12"/>
      <c r="M51" s="6"/>
    </row>
    <row r="52" spans="1:13" s="8" customFormat="1" ht="45" customHeight="1" thickBot="1" x14ac:dyDescent="0.3">
      <c r="A52" s="3"/>
      <c r="B52" s="7"/>
      <c r="C52" s="4"/>
      <c r="D52" s="15"/>
      <c r="E52" s="7"/>
      <c r="F52" s="2"/>
      <c r="G52" s="2"/>
      <c r="H52" s="7"/>
      <c r="I52" s="4"/>
      <c r="J52" s="2"/>
      <c r="K52" s="2"/>
      <c r="L52" s="12"/>
      <c r="M52" s="6"/>
    </row>
    <row r="53" spans="1:13" s="8" customFormat="1" ht="45" customHeight="1" thickBot="1" x14ac:dyDescent="0.3">
      <c r="A53" s="3"/>
      <c r="B53" s="7"/>
      <c r="C53" s="4"/>
      <c r="D53" s="15"/>
      <c r="E53" s="7"/>
      <c r="F53" s="2"/>
      <c r="G53" s="2"/>
      <c r="H53" s="4"/>
      <c r="I53" s="4"/>
      <c r="J53" s="2"/>
      <c r="K53" s="2"/>
      <c r="L53" s="12"/>
      <c r="M53" s="6"/>
    </row>
    <row r="54" spans="1:13" s="8" customFormat="1" ht="45" customHeight="1" thickBot="1" x14ac:dyDescent="0.3">
      <c r="A54" s="3"/>
      <c r="B54" s="7"/>
      <c r="C54" s="4"/>
      <c r="D54" s="15"/>
      <c r="E54" s="7"/>
      <c r="F54" s="2"/>
      <c r="G54" s="2"/>
      <c r="H54" s="7"/>
      <c r="I54" s="4"/>
      <c r="J54" s="2"/>
      <c r="K54" s="2"/>
      <c r="L54" s="12"/>
      <c r="M54" s="6"/>
    </row>
    <row r="55" spans="1:13" s="8" customFormat="1" ht="45" customHeight="1" thickBot="1" x14ac:dyDescent="0.3">
      <c r="A55" s="3"/>
      <c r="B55" s="7"/>
      <c r="C55" s="4"/>
      <c r="D55" s="10"/>
      <c r="E55" s="7"/>
      <c r="F55" s="2"/>
      <c r="G55" s="2"/>
      <c r="H55" s="4"/>
      <c r="I55" s="4"/>
      <c r="J55" s="2"/>
      <c r="K55" s="2"/>
      <c r="L55" s="12"/>
      <c r="M55" s="6"/>
    </row>
    <row r="56" spans="1:13" s="8" customFormat="1" ht="45" customHeight="1" thickBot="1" x14ac:dyDescent="0.3">
      <c r="A56" s="3"/>
      <c r="B56" s="7"/>
      <c r="C56" s="2"/>
      <c r="D56" s="10"/>
      <c r="E56" s="7"/>
      <c r="F56" s="2"/>
      <c r="G56" s="2"/>
      <c r="H56" s="4"/>
      <c r="I56" s="4"/>
      <c r="J56" s="2"/>
      <c r="K56" s="2"/>
      <c r="L56" s="12"/>
      <c r="M56" s="6"/>
    </row>
    <row r="57" spans="1:13" s="8" customFormat="1" ht="45" customHeight="1" thickBot="1" x14ac:dyDescent="0.3">
      <c r="A57" s="3"/>
      <c r="B57" s="7"/>
      <c r="C57" s="2"/>
      <c r="D57" s="15"/>
      <c r="E57" s="7"/>
      <c r="F57" s="2"/>
      <c r="G57" s="2"/>
      <c r="H57" s="7"/>
      <c r="I57" s="4"/>
      <c r="J57" s="2"/>
      <c r="K57" s="2"/>
      <c r="L57" s="12"/>
      <c r="M57" s="6"/>
    </row>
    <row r="58" spans="1:13" s="8" customFormat="1" ht="15.75" thickBot="1" x14ac:dyDescent="0.3">
      <c r="A58" s="3"/>
      <c r="B58" s="7"/>
      <c r="C58" s="2"/>
      <c r="D58" s="14"/>
      <c r="E58" s="7"/>
      <c r="F58" s="2"/>
      <c r="G58" s="2"/>
      <c r="H58" s="7"/>
      <c r="I58" s="4"/>
      <c r="J58" s="2"/>
      <c r="K58" s="2"/>
      <c r="L58" s="12"/>
      <c r="M58" s="6"/>
    </row>
    <row r="59" spans="1:13" s="8" customFormat="1" ht="15.75" thickBot="1" x14ac:dyDescent="0.3">
      <c r="A59" s="3"/>
      <c r="B59" s="7"/>
      <c r="C59" s="2"/>
      <c r="D59" s="14"/>
      <c r="E59" s="7"/>
      <c r="F59" s="2"/>
      <c r="G59" s="2"/>
      <c r="H59" s="7"/>
      <c r="I59" s="4"/>
      <c r="J59" s="2"/>
      <c r="K59" s="2"/>
      <c r="L59" s="12"/>
      <c r="M59" s="6"/>
    </row>
    <row r="60" spans="1:13" s="8" customFormat="1" ht="45" customHeight="1" thickBot="1" x14ac:dyDescent="0.3">
      <c r="A60" s="3"/>
      <c r="B60" s="7"/>
      <c r="C60" s="4"/>
      <c r="D60" s="15"/>
      <c r="E60" s="7"/>
      <c r="F60" s="2"/>
      <c r="G60" s="2"/>
      <c r="H60" s="7"/>
      <c r="I60" s="4"/>
      <c r="J60" s="2"/>
      <c r="K60" s="2"/>
      <c r="L60" s="12"/>
      <c r="M60" s="6"/>
    </row>
    <row r="61" spans="1:13" s="8" customFormat="1" ht="45" customHeight="1" thickBot="1" x14ac:dyDescent="0.3">
      <c r="A61" s="3"/>
      <c r="B61" s="7"/>
      <c r="C61" s="4"/>
      <c r="D61" s="15"/>
      <c r="E61" s="7"/>
      <c r="F61" s="2"/>
      <c r="G61" s="2"/>
      <c r="H61" s="7"/>
      <c r="I61" s="4"/>
      <c r="J61" s="2"/>
      <c r="K61" s="2"/>
      <c r="L61" s="12"/>
      <c r="M61" s="6"/>
    </row>
    <row r="62" spans="1:13" s="8" customFormat="1" ht="45" customHeight="1" thickBot="1" x14ac:dyDescent="0.3">
      <c r="A62" s="3"/>
      <c r="B62" s="7"/>
      <c r="C62" s="4"/>
      <c r="D62" s="15"/>
      <c r="E62" s="7"/>
      <c r="F62" s="2"/>
      <c r="G62" s="2"/>
      <c r="H62" s="7"/>
      <c r="I62" s="4"/>
      <c r="J62" s="2"/>
      <c r="K62" s="2"/>
      <c r="L62" s="12"/>
      <c r="M62" s="6"/>
    </row>
    <row r="63" spans="1:13" s="8" customFormat="1" ht="45" customHeight="1" thickBot="1" x14ac:dyDescent="0.3">
      <c r="A63" s="3"/>
      <c r="B63" s="7"/>
      <c r="C63" s="4"/>
      <c r="D63" s="15"/>
      <c r="E63" s="7"/>
      <c r="F63" s="2"/>
      <c r="G63" s="2"/>
      <c r="H63" s="7"/>
      <c r="I63" s="4"/>
      <c r="J63" s="2"/>
      <c r="K63" s="2"/>
      <c r="L63" s="12"/>
      <c r="M63" s="6"/>
    </row>
    <row r="64" spans="1:13" s="8" customFormat="1" ht="45" customHeight="1" thickBot="1" x14ac:dyDescent="0.3">
      <c r="A64" s="3"/>
      <c r="B64" s="7"/>
      <c r="C64" s="4"/>
      <c r="D64" s="15"/>
      <c r="E64" s="7"/>
      <c r="F64" s="2"/>
      <c r="G64" s="2"/>
      <c r="H64" s="7"/>
      <c r="I64" s="4"/>
      <c r="J64" s="2"/>
      <c r="K64" s="2"/>
      <c r="L64" s="12"/>
      <c r="M64" s="6"/>
    </row>
    <row r="65" spans="1:13" s="8" customFormat="1" ht="45" customHeight="1" thickBot="1" x14ac:dyDescent="0.3">
      <c r="A65" s="3"/>
      <c r="B65" s="7"/>
      <c r="C65" s="4"/>
      <c r="D65" s="15"/>
      <c r="E65" s="7"/>
      <c r="F65" s="2"/>
      <c r="G65" s="2"/>
      <c r="H65" s="7"/>
      <c r="I65" s="4"/>
      <c r="J65" s="2"/>
      <c r="K65" s="2"/>
      <c r="L65" s="12"/>
      <c r="M65" s="6"/>
    </row>
    <row r="66" spans="1:13" s="8" customFormat="1" ht="45" customHeight="1" thickBot="1" x14ac:dyDescent="0.3">
      <c r="A66" s="3"/>
      <c r="B66" s="7"/>
      <c r="C66" s="4"/>
      <c r="D66" s="15"/>
      <c r="E66" s="7"/>
      <c r="F66" s="2"/>
      <c r="G66" s="2"/>
      <c r="H66" s="7"/>
      <c r="I66" s="4"/>
      <c r="J66" s="2"/>
      <c r="K66" s="2"/>
      <c r="L66" s="12"/>
      <c r="M66" s="6"/>
    </row>
    <row r="67" spans="1:13" s="8" customFormat="1" ht="45" customHeight="1" thickBot="1" x14ac:dyDescent="0.3">
      <c r="A67" s="3"/>
      <c r="B67" s="7"/>
      <c r="C67" s="4"/>
      <c r="D67" s="15"/>
      <c r="E67" s="7"/>
      <c r="F67" s="2"/>
      <c r="G67" s="2"/>
      <c r="H67" s="7"/>
      <c r="I67" s="4"/>
      <c r="J67" s="2"/>
      <c r="K67" s="2"/>
      <c r="L67" s="12"/>
      <c r="M67" s="6"/>
    </row>
    <row r="68" spans="1:13" s="8" customFormat="1" ht="45" customHeight="1" thickBot="1" x14ac:dyDescent="0.3">
      <c r="A68" s="3"/>
      <c r="B68" s="7"/>
      <c r="C68" s="2"/>
      <c r="D68" s="10"/>
      <c r="E68" s="7"/>
      <c r="F68" s="2"/>
      <c r="G68" s="2"/>
      <c r="H68" s="7"/>
      <c r="I68" s="4"/>
      <c r="J68" s="2"/>
      <c r="K68" s="2"/>
      <c r="L68" s="12"/>
      <c r="M68" s="6"/>
    </row>
    <row r="69" spans="1:13" s="8" customFormat="1" ht="45" customHeight="1" thickBot="1" x14ac:dyDescent="0.3">
      <c r="A69" s="3"/>
      <c r="B69" s="7"/>
      <c r="C69" s="2"/>
      <c r="D69" s="10"/>
      <c r="E69" s="7"/>
      <c r="F69" s="2"/>
      <c r="G69" s="2"/>
      <c r="H69" s="7"/>
      <c r="I69" s="4"/>
      <c r="J69" s="2"/>
      <c r="K69" s="2"/>
      <c r="L69" s="12"/>
      <c r="M69" s="6"/>
    </row>
    <row r="70" spans="1:13" s="8" customFormat="1" ht="15.75" thickBot="1" x14ac:dyDescent="0.3">
      <c r="A70" s="3"/>
      <c r="B70" s="7"/>
      <c r="C70" s="2"/>
      <c r="D70" s="14"/>
      <c r="E70" s="7"/>
      <c r="F70" s="2"/>
      <c r="G70" s="2"/>
      <c r="H70" s="7"/>
      <c r="I70" s="4"/>
      <c r="J70" s="2"/>
      <c r="K70" s="2"/>
      <c r="L70" s="12"/>
      <c r="M70" s="6"/>
    </row>
    <row r="71" spans="1:13" s="8" customFormat="1" ht="15.75" thickBot="1" x14ac:dyDescent="0.3">
      <c r="A71" s="3"/>
      <c r="B71" s="7"/>
      <c r="C71" s="2"/>
      <c r="D71" s="14"/>
      <c r="E71" s="7"/>
      <c r="F71" s="2"/>
      <c r="G71" s="2"/>
      <c r="H71" s="7"/>
      <c r="I71" s="4"/>
      <c r="J71" s="2"/>
      <c r="K71" s="2"/>
      <c r="L71" s="12"/>
      <c r="M71" s="6"/>
    </row>
    <row r="72" spans="1:13" s="8" customFormat="1" ht="45" customHeight="1" thickBot="1" x14ac:dyDescent="0.3">
      <c r="A72" s="3"/>
      <c r="B72" s="7"/>
      <c r="C72" s="4"/>
      <c r="D72" s="15"/>
      <c r="E72" s="7"/>
      <c r="F72" s="2"/>
      <c r="G72" s="2"/>
      <c r="H72" s="7"/>
      <c r="I72" s="4"/>
      <c r="J72" s="2"/>
      <c r="K72" s="2"/>
      <c r="L72" s="12"/>
      <c r="M72" s="6"/>
    </row>
    <row r="73" spans="1:13" s="8" customFormat="1" ht="45" customHeight="1" thickBot="1" x14ac:dyDescent="0.3">
      <c r="A73" s="3"/>
      <c r="B73" s="7"/>
      <c r="C73" s="4"/>
      <c r="D73" s="15"/>
      <c r="E73" s="7"/>
      <c r="F73" s="2"/>
      <c r="G73" s="2"/>
      <c r="H73" s="7"/>
      <c r="I73" s="4"/>
      <c r="J73" s="2"/>
      <c r="K73" s="2"/>
      <c r="L73" s="12"/>
      <c r="M73" s="6"/>
    </row>
    <row r="74" spans="1:13" s="8" customFormat="1" ht="45" customHeight="1" thickBot="1" x14ac:dyDescent="0.3">
      <c r="A74" s="3"/>
      <c r="B74" s="7"/>
      <c r="C74" s="4"/>
      <c r="D74" s="15"/>
      <c r="E74" s="7"/>
      <c r="F74" s="2"/>
      <c r="G74" s="2"/>
      <c r="H74" s="7"/>
      <c r="I74" s="4"/>
      <c r="J74" s="2"/>
      <c r="K74" s="2"/>
      <c r="L74" s="12"/>
      <c r="M74" s="6"/>
    </row>
    <row r="75" spans="1:13" s="8" customFormat="1" ht="45" customHeight="1" thickBot="1" x14ac:dyDescent="0.3">
      <c r="A75" s="3"/>
      <c r="B75" s="7"/>
      <c r="C75" s="4"/>
      <c r="D75" s="15"/>
      <c r="E75" s="7"/>
      <c r="F75" s="2"/>
      <c r="G75" s="2"/>
      <c r="H75" s="7"/>
      <c r="I75" s="4"/>
      <c r="J75" s="2"/>
      <c r="K75" s="2"/>
      <c r="L75" s="12"/>
      <c r="M75" s="6"/>
    </row>
    <row r="76" spans="1:13" s="8" customFormat="1" ht="45" customHeight="1" thickBot="1" x14ac:dyDescent="0.3">
      <c r="A76" s="3"/>
      <c r="B76" s="7"/>
      <c r="C76" s="4"/>
      <c r="D76" s="15"/>
      <c r="E76" s="7"/>
      <c r="F76" s="2"/>
      <c r="G76" s="2"/>
      <c r="H76" s="7"/>
      <c r="I76" s="4"/>
      <c r="J76" s="2"/>
      <c r="K76" s="2"/>
      <c r="L76" s="12"/>
      <c r="M76" s="6"/>
    </row>
    <row r="77" spans="1:13" s="8" customFormat="1" ht="45" customHeight="1" thickBot="1" x14ac:dyDescent="0.3">
      <c r="A77" s="3"/>
      <c r="B77" s="7"/>
      <c r="C77" s="4"/>
      <c r="D77" s="15"/>
      <c r="E77" s="7"/>
      <c r="F77" s="2"/>
      <c r="G77" s="2"/>
      <c r="H77" s="2"/>
      <c r="I77" s="4"/>
      <c r="J77" s="2"/>
      <c r="K77" s="2"/>
      <c r="L77" s="12"/>
      <c r="M77" s="6"/>
    </row>
    <row r="78" spans="1:13" s="8" customFormat="1" ht="45" customHeight="1" thickBot="1" x14ac:dyDescent="0.3">
      <c r="A78" s="3"/>
      <c r="B78" s="7"/>
      <c r="C78" s="4"/>
      <c r="D78" s="15"/>
      <c r="E78" s="7"/>
      <c r="F78" s="2"/>
      <c r="G78" s="2"/>
      <c r="H78" s="2"/>
      <c r="I78" s="4"/>
      <c r="J78" s="2"/>
      <c r="K78" s="2"/>
      <c r="L78" s="12"/>
      <c r="M78" s="6"/>
    </row>
    <row r="79" spans="1:13" s="8" customFormat="1" ht="45" customHeight="1" thickBot="1" x14ac:dyDescent="0.3">
      <c r="A79" s="3"/>
      <c r="B79" s="7"/>
      <c r="C79" s="4"/>
      <c r="D79" s="15"/>
      <c r="E79" s="7"/>
      <c r="F79" s="2"/>
      <c r="G79" s="2"/>
      <c r="H79" s="2"/>
      <c r="I79" s="4"/>
      <c r="J79" s="2"/>
      <c r="K79" s="2"/>
      <c r="L79" s="12"/>
      <c r="M79" s="6"/>
    </row>
    <row r="80" spans="1:13" s="8" customFormat="1" ht="45" customHeight="1" thickBot="1" x14ac:dyDescent="0.3">
      <c r="A80" s="3"/>
      <c r="B80" s="7"/>
      <c r="C80" s="4"/>
      <c r="D80" s="15"/>
      <c r="E80" s="7"/>
      <c r="F80" s="2"/>
      <c r="G80" s="2"/>
      <c r="H80" s="2"/>
      <c r="I80" s="4"/>
      <c r="J80" s="2"/>
      <c r="K80" s="2"/>
      <c r="L80" s="12"/>
      <c r="M80" s="6"/>
    </row>
    <row r="81" spans="1:13" s="8" customFormat="1" ht="45" customHeight="1" thickBot="1" x14ac:dyDescent="0.3">
      <c r="A81" s="3"/>
      <c r="B81" s="7"/>
      <c r="C81" s="4"/>
      <c r="D81" s="10"/>
      <c r="E81" s="7"/>
      <c r="F81" s="2"/>
      <c r="G81" s="2"/>
      <c r="H81" s="2"/>
      <c r="I81" s="4"/>
      <c r="J81" s="2"/>
      <c r="K81" s="2"/>
      <c r="L81" s="12"/>
      <c r="M81" s="6"/>
    </row>
    <row r="82" spans="1:13" s="8" customFormat="1" ht="45" customHeight="1" thickBot="1" x14ac:dyDescent="0.3">
      <c r="A82" s="3"/>
      <c r="B82" s="7"/>
      <c r="C82" s="4"/>
      <c r="D82" s="16"/>
      <c r="E82" s="7"/>
      <c r="F82" s="2"/>
      <c r="G82" s="2"/>
      <c r="H82" s="2"/>
      <c r="I82" s="4"/>
      <c r="J82" s="2"/>
      <c r="K82" s="2"/>
      <c r="L82" s="12"/>
      <c r="M82" s="6"/>
    </row>
    <row r="83" spans="1:13" s="8" customFormat="1" ht="45" customHeight="1" thickBot="1" x14ac:dyDescent="0.3">
      <c r="A83" s="3"/>
      <c r="B83" s="7"/>
      <c r="C83" s="4"/>
      <c r="D83" s="16"/>
      <c r="E83" s="7"/>
      <c r="F83" s="2"/>
      <c r="G83" s="2"/>
      <c r="H83" s="2"/>
      <c r="I83" s="4"/>
      <c r="J83" s="2"/>
      <c r="K83" s="2"/>
      <c r="L83" s="12"/>
      <c r="M83" s="6"/>
    </row>
    <row r="84" spans="1:13" s="8" customFormat="1" ht="45" customHeight="1" thickBot="1" x14ac:dyDescent="0.3">
      <c r="A84" s="3"/>
      <c r="B84" s="7"/>
      <c r="C84" s="4"/>
      <c r="D84" s="15"/>
      <c r="E84" s="7"/>
      <c r="F84" s="2"/>
      <c r="G84" s="2"/>
      <c r="H84" s="2"/>
      <c r="I84" s="4"/>
      <c r="J84" s="2"/>
      <c r="K84" s="2"/>
      <c r="L84" s="12"/>
      <c r="M84" s="6"/>
    </row>
    <row r="85" spans="1:13" s="8" customFormat="1" ht="45" customHeight="1" thickBot="1" x14ac:dyDescent="0.3">
      <c r="A85" s="3"/>
      <c r="B85" s="7"/>
      <c r="C85" s="4"/>
      <c r="D85" s="15"/>
      <c r="E85" s="7"/>
      <c r="F85" s="2"/>
      <c r="G85" s="2"/>
      <c r="H85" s="2"/>
      <c r="I85" s="4"/>
      <c r="J85" s="2"/>
      <c r="K85" s="2"/>
      <c r="L85" s="12"/>
      <c r="M85" s="6"/>
    </row>
    <row r="86" spans="1:13" s="8" customFormat="1" ht="45" customHeight="1" thickBot="1" x14ac:dyDescent="0.3">
      <c r="A86" s="3"/>
      <c r="B86" s="7"/>
      <c r="C86" s="4"/>
      <c r="D86" s="16"/>
      <c r="E86" s="7"/>
      <c r="F86" s="2"/>
      <c r="G86" s="2"/>
      <c r="H86" s="2"/>
      <c r="I86" s="4"/>
      <c r="J86" s="2"/>
      <c r="K86" s="2"/>
      <c r="L86" s="12"/>
      <c r="M86" s="6"/>
    </row>
    <row r="87" spans="1:13" s="8" customFormat="1" ht="45" customHeight="1" thickBot="1" x14ac:dyDescent="0.3">
      <c r="A87" s="3"/>
      <c r="B87" s="7"/>
      <c r="C87" s="4"/>
      <c r="D87" s="15"/>
      <c r="E87" s="7"/>
      <c r="F87" s="2"/>
      <c r="G87" s="2"/>
      <c r="H87" s="2"/>
      <c r="I87" s="4"/>
      <c r="J87" s="2"/>
      <c r="K87" s="2"/>
      <c r="L87" s="12"/>
      <c r="M87" s="6"/>
    </row>
    <row r="88" spans="1:13" s="8" customFormat="1" ht="45" customHeight="1" thickBot="1" x14ac:dyDescent="0.3">
      <c r="A88" s="3"/>
      <c r="B88" s="7"/>
      <c r="C88" s="4"/>
      <c r="D88" s="15"/>
      <c r="E88" s="7"/>
      <c r="F88" s="2"/>
      <c r="G88" s="2"/>
      <c r="H88" s="2"/>
      <c r="I88" s="4"/>
      <c r="J88" s="2"/>
      <c r="K88" s="2"/>
      <c r="L88" s="12"/>
      <c r="M88" s="6"/>
    </row>
    <row r="89" spans="1:13" s="8" customFormat="1" ht="45" customHeight="1" thickBot="1" x14ac:dyDescent="0.3">
      <c r="A89" s="3"/>
      <c r="B89" s="7"/>
      <c r="C89" s="4"/>
      <c r="D89" s="15"/>
      <c r="E89" s="7"/>
      <c r="F89" s="2"/>
      <c r="G89" s="2"/>
      <c r="H89" s="2"/>
      <c r="I89" s="4"/>
      <c r="J89" s="2"/>
      <c r="K89" s="2"/>
      <c r="L89" s="12"/>
      <c r="M89" s="6"/>
    </row>
    <row r="90" spans="1:13" s="8" customFormat="1" ht="45" customHeight="1" thickBot="1" x14ac:dyDescent="0.3">
      <c r="A90" s="3"/>
      <c r="B90" s="7"/>
      <c r="C90" s="4"/>
      <c r="D90" s="15"/>
      <c r="E90" s="7"/>
      <c r="F90" s="2"/>
      <c r="G90" s="2"/>
      <c r="H90" s="2"/>
      <c r="I90" s="4"/>
      <c r="J90" s="2"/>
      <c r="K90" s="2"/>
      <c r="L90" s="12"/>
      <c r="M90" s="6"/>
    </row>
    <row r="91" spans="1:13" s="8" customFormat="1" ht="45" customHeight="1" thickBot="1" x14ac:dyDescent="0.3">
      <c r="A91" s="3"/>
      <c r="B91" s="7"/>
      <c r="C91" s="4"/>
      <c r="D91" s="15"/>
      <c r="E91" s="7"/>
      <c r="F91" s="2"/>
      <c r="G91" s="2"/>
      <c r="H91" s="2"/>
      <c r="I91" s="4"/>
      <c r="J91" s="2"/>
      <c r="K91" s="2"/>
      <c r="L91" s="12"/>
      <c r="M91" s="6"/>
    </row>
    <row r="92" spans="1:13" s="8" customFormat="1" ht="45" customHeight="1" thickBot="1" x14ac:dyDescent="0.3">
      <c r="A92" s="3"/>
      <c r="B92" s="7"/>
      <c r="C92" s="4"/>
      <c r="D92" s="15"/>
      <c r="E92" s="7"/>
      <c r="F92" s="2"/>
      <c r="G92" s="2"/>
      <c r="H92" s="2"/>
      <c r="I92" s="4"/>
      <c r="J92" s="2"/>
      <c r="K92" s="2"/>
      <c r="L92" s="12"/>
      <c r="M92" s="6"/>
    </row>
    <row r="93" spans="1:13" s="8" customFormat="1" ht="45" customHeight="1" thickBot="1" x14ac:dyDescent="0.3">
      <c r="A93" s="3"/>
      <c r="B93" s="7"/>
      <c r="C93" s="4"/>
      <c r="D93" s="15"/>
      <c r="E93" s="7"/>
      <c r="F93" s="2"/>
      <c r="G93" s="2"/>
      <c r="H93" s="2"/>
      <c r="I93" s="4"/>
      <c r="J93" s="2"/>
      <c r="K93" s="2"/>
      <c r="L93" s="12"/>
      <c r="M93" s="6"/>
    </row>
    <row r="94" spans="1:13" s="8" customFormat="1" ht="45" customHeight="1" thickBot="1" x14ac:dyDescent="0.3">
      <c r="A94" s="3"/>
      <c r="B94" s="7"/>
      <c r="C94" s="4"/>
      <c r="D94" s="15"/>
      <c r="E94" s="7"/>
      <c r="F94" s="2"/>
      <c r="G94" s="2"/>
      <c r="H94" s="2"/>
      <c r="I94" s="4"/>
      <c r="J94" s="2"/>
      <c r="K94" s="2"/>
      <c r="L94" s="12"/>
      <c r="M94" s="6"/>
    </row>
    <row r="95" spans="1:13" s="8" customFormat="1" ht="45" customHeight="1" thickBot="1" x14ac:dyDescent="0.3">
      <c r="A95" s="3"/>
      <c r="B95" s="7"/>
      <c r="C95" s="4"/>
      <c r="D95" s="15"/>
      <c r="E95" s="7"/>
      <c r="F95" s="2"/>
      <c r="G95" s="2"/>
      <c r="H95" s="2"/>
      <c r="I95" s="4"/>
      <c r="J95" s="2"/>
      <c r="K95" s="2"/>
      <c r="L95" s="12"/>
      <c r="M95" s="6"/>
    </row>
    <row r="96" spans="1:13" s="8" customFormat="1" ht="45" customHeight="1" thickBot="1" x14ac:dyDescent="0.3">
      <c r="A96" s="3"/>
      <c r="B96" s="7"/>
      <c r="C96" s="4"/>
      <c r="D96" s="15"/>
      <c r="E96" s="7"/>
      <c r="F96" s="2"/>
      <c r="G96" s="2"/>
      <c r="H96" s="2"/>
      <c r="I96" s="4"/>
      <c r="J96" s="2"/>
      <c r="K96" s="2"/>
      <c r="L96" s="12"/>
      <c r="M96" s="6"/>
    </row>
    <row r="97" spans="1:13" s="8" customFormat="1" ht="45" customHeight="1" thickBot="1" x14ac:dyDescent="0.3">
      <c r="A97" s="3"/>
      <c r="B97" s="7"/>
      <c r="C97" s="4"/>
      <c r="D97" s="15"/>
      <c r="E97" s="7"/>
      <c r="F97" s="2"/>
      <c r="G97" s="2"/>
      <c r="H97" s="2"/>
      <c r="I97" s="4"/>
      <c r="J97" s="2"/>
      <c r="K97" s="2"/>
      <c r="L97" s="12"/>
      <c r="M97" s="6"/>
    </row>
    <row r="98" spans="1:13" s="8" customFormat="1" ht="45" customHeight="1" thickBot="1" x14ac:dyDescent="0.3">
      <c r="A98" s="3"/>
      <c r="B98" s="7"/>
      <c r="C98" s="4"/>
      <c r="D98" s="15"/>
      <c r="E98" s="7"/>
      <c r="F98" s="2"/>
      <c r="G98" s="2"/>
      <c r="H98" s="2"/>
      <c r="I98" s="4"/>
      <c r="J98" s="2"/>
      <c r="K98" s="2"/>
      <c r="L98" s="12"/>
      <c r="M98" s="6"/>
    </row>
    <row r="99" spans="1:13" s="8" customFormat="1" ht="45" customHeight="1" thickBot="1" x14ac:dyDescent="0.3">
      <c r="A99" s="3"/>
      <c r="B99" s="7"/>
      <c r="C99" s="4"/>
      <c r="D99" s="15"/>
      <c r="E99" s="7"/>
      <c r="F99" s="2"/>
      <c r="G99" s="2"/>
      <c r="H99" s="2"/>
      <c r="I99" s="4"/>
      <c r="J99" s="2"/>
      <c r="K99" s="2"/>
      <c r="L99" s="12"/>
      <c r="M99" s="6"/>
    </row>
    <row r="100" spans="1:13" s="8" customFormat="1" ht="45" customHeight="1" thickBot="1" x14ac:dyDescent="0.3">
      <c r="A100" s="3"/>
      <c r="B100" s="7"/>
      <c r="C100" s="4"/>
      <c r="D100" s="10"/>
      <c r="E100" s="7"/>
      <c r="F100" s="2"/>
      <c r="G100" s="2"/>
      <c r="H100" s="2"/>
      <c r="I100" s="4"/>
      <c r="J100" s="2"/>
      <c r="K100" s="2"/>
      <c r="L100" s="12"/>
      <c r="M100" s="6"/>
    </row>
    <row r="101" spans="1:13" s="8" customFormat="1" ht="45" customHeight="1" thickBot="1" x14ac:dyDescent="0.3">
      <c r="A101" s="3"/>
      <c r="B101" s="7"/>
      <c r="C101" s="4"/>
      <c r="D101" s="10"/>
      <c r="E101" s="7"/>
      <c r="F101" s="2"/>
      <c r="G101" s="2"/>
      <c r="H101" s="2"/>
      <c r="I101" s="4"/>
      <c r="J101" s="2"/>
      <c r="K101" s="2"/>
      <c r="L101" s="12"/>
      <c r="M101" s="6"/>
    </row>
    <row r="102" spans="1:13" s="8" customFormat="1" ht="45" customHeight="1" thickBot="1" x14ac:dyDescent="0.3">
      <c r="A102" s="3"/>
      <c r="B102" s="7"/>
      <c r="C102" s="4"/>
      <c r="D102" s="10"/>
      <c r="E102" s="7"/>
      <c r="F102" s="2"/>
      <c r="G102" s="2"/>
      <c r="H102" s="2"/>
      <c r="I102" s="4"/>
      <c r="J102" s="2"/>
      <c r="K102" s="2"/>
      <c r="L102" s="12"/>
      <c r="M102" s="6"/>
    </row>
    <row r="103" spans="1:13" s="8" customFormat="1" ht="45" customHeight="1" thickBot="1" x14ac:dyDescent="0.3">
      <c r="A103" s="3"/>
      <c r="B103" s="7"/>
      <c r="C103" s="2"/>
      <c r="D103" s="15"/>
      <c r="E103" s="2"/>
      <c r="F103" s="2"/>
      <c r="G103" s="2"/>
      <c r="H103" s="2"/>
      <c r="I103" s="4"/>
      <c r="J103" s="2"/>
      <c r="K103" s="2"/>
      <c r="L103" s="12"/>
      <c r="M103" s="6"/>
    </row>
    <row r="104" spans="1:13" s="8" customFormat="1" ht="45" customHeight="1" thickBot="1" x14ac:dyDescent="0.3">
      <c r="A104" s="3"/>
      <c r="B104" s="7"/>
      <c r="C104" s="2"/>
      <c r="D104" s="15"/>
      <c r="E104" s="2"/>
      <c r="F104" s="2"/>
      <c r="G104" s="2"/>
      <c r="H104" s="2"/>
      <c r="I104" s="4"/>
      <c r="J104" s="2"/>
      <c r="K104" s="2"/>
      <c r="L104" s="12"/>
      <c r="M104" s="6"/>
    </row>
    <row r="105" spans="1:13" s="8" customFormat="1" ht="45" customHeight="1" thickBot="1" x14ac:dyDescent="0.3">
      <c r="A105" s="3"/>
      <c r="B105" s="7"/>
      <c r="C105" s="2"/>
      <c r="D105" s="15"/>
      <c r="E105" s="2"/>
      <c r="F105" s="2"/>
      <c r="G105" s="2"/>
      <c r="H105" s="2"/>
      <c r="I105" s="4"/>
      <c r="J105" s="2"/>
      <c r="K105" s="2"/>
      <c r="L105" s="12"/>
      <c r="M105" s="6"/>
    </row>
    <row r="106" spans="1:13" s="8" customFormat="1" ht="45" customHeight="1" thickBot="1" x14ac:dyDescent="0.3">
      <c r="A106" s="3"/>
      <c r="B106" s="7"/>
      <c r="C106" s="4"/>
      <c r="D106" s="15"/>
      <c r="E106" s="2"/>
      <c r="F106" s="2"/>
      <c r="G106" s="2"/>
      <c r="H106" s="2"/>
      <c r="I106" s="4"/>
      <c r="J106" s="2"/>
      <c r="K106" s="2"/>
      <c r="L106" s="12"/>
      <c r="M106" s="6"/>
    </row>
    <row r="107" spans="1:13" s="8" customFormat="1" ht="45" customHeight="1" thickBot="1" x14ac:dyDescent="0.3">
      <c r="A107" s="3"/>
      <c r="B107" s="7"/>
      <c r="C107" s="2"/>
      <c r="D107" s="15"/>
      <c r="E107" s="7"/>
      <c r="F107" s="2"/>
      <c r="G107" s="2"/>
      <c r="H107" s="2"/>
      <c r="I107" s="4"/>
      <c r="J107" s="2"/>
      <c r="K107" s="2"/>
      <c r="L107" s="12"/>
      <c r="M107" s="6"/>
    </row>
    <row r="108" spans="1:13" s="8" customFormat="1" ht="45" customHeight="1" thickBot="1" x14ac:dyDescent="0.3">
      <c r="A108" s="3"/>
      <c r="B108" s="7"/>
      <c r="C108" s="2"/>
      <c r="D108" s="15"/>
      <c r="E108" s="7"/>
      <c r="F108" s="2"/>
      <c r="G108" s="2"/>
      <c r="H108" s="2"/>
      <c r="I108" s="4"/>
      <c r="J108" s="2"/>
      <c r="K108" s="2"/>
      <c r="L108" s="12"/>
      <c r="M108" s="6"/>
    </row>
    <row r="109" spans="1:13" s="8" customFormat="1" ht="45" customHeight="1" thickBot="1" x14ac:dyDescent="0.3">
      <c r="A109" s="3"/>
      <c r="B109" s="7"/>
      <c r="C109" s="2"/>
      <c r="D109" s="15"/>
      <c r="E109" s="7"/>
      <c r="F109" s="2"/>
      <c r="G109" s="2"/>
      <c r="H109" s="2"/>
      <c r="I109" s="4"/>
      <c r="J109" s="2"/>
      <c r="K109" s="2"/>
      <c r="L109" s="12"/>
      <c r="M109" s="6"/>
    </row>
    <row r="110" spans="1:13" s="8" customFormat="1" ht="45" customHeight="1" thickBot="1" x14ac:dyDescent="0.3">
      <c r="A110" s="3"/>
      <c r="B110" s="7"/>
      <c r="C110" s="2"/>
      <c r="D110" s="15"/>
      <c r="E110" s="7"/>
      <c r="F110" s="2"/>
      <c r="G110" s="2"/>
      <c r="H110" s="2"/>
      <c r="I110" s="4"/>
      <c r="J110" s="2"/>
      <c r="K110" s="2"/>
      <c r="L110" s="12"/>
      <c r="M110" s="6"/>
    </row>
    <row r="111" spans="1:13" s="8" customFormat="1" ht="45" customHeight="1" thickBot="1" x14ac:dyDescent="0.3">
      <c r="A111" s="3"/>
      <c r="B111" s="7"/>
      <c r="C111" s="2"/>
      <c r="D111" s="15"/>
      <c r="E111" s="7"/>
      <c r="F111" s="2"/>
      <c r="G111" s="2"/>
      <c r="H111" s="2"/>
      <c r="I111" s="4"/>
      <c r="J111" s="2"/>
      <c r="K111" s="2"/>
      <c r="L111" s="12"/>
      <c r="M111" s="6"/>
    </row>
    <row r="112" spans="1:13" s="8" customFormat="1" ht="45" customHeight="1" thickBot="1" x14ac:dyDescent="0.3">
      <c r="A112" s="3"/>
      <c r="B112" s="7"/>
      <c r="C112" s="2"/>
      <c r="D112" s="15"/>
      <c r="E112" s="2"/>
      <c r="F112" s="2"/>
      <c r="G112" s="2"/>
      <c r="H112" s="2"/>
      <c r="I112" s="4"/>
      <c r="J112" s="2"/>
      <c r="K112" s="2"/>
      <c r="L112" s="12"/>
      <c r="M112" s="6"/>
    </row>
    <row r="113" spans="1:13" s="8" customFormat="1" ht="45" customHeight="1" thickBot="1" x14ac:dyDescent="0.3">
      <c r="A113" s="3"/>
      <c r="B113" s="7"/>
      <c r="C113" s="2"/>
      <c r="D113" s="15"/>
      <c r="E113" s="2"/>
      <c r="F113" s="2"/>
      <c r="G113" s="2"/>
      <c r="H113" s="2"/>
      <c r="I113" s="4"/>
      <c r="J113" s="2"/>
      <c r="K113" s="2"/>
      <c r="L113" s="12"/>
      <c r="M113" s="6"/>
    </row>
    <row r="114" spans="1:13" s="8" customFormat="1" ht="45" customHeight="1" thickBot="1" x14ac:dyDescent="0.3">
      <c r="A114" s="3"/>
      <c r="B114" s="7"/>
      <c r="C114" s="2"/>
      <c r="D114" s="15"/>
      <c r="E114" s="2"/>
      <c r="F114" s="2"/>
      <c r="G114" s="2"/>
      <c r="H114" s="2"/>
      <c r="I114" s="4"/>
      <c r="J114" s="2"/>
      <c r="K114" s="2"/>
      <c r="L114" s="12"/>
      <c r="M114" s="6"/>
    </row>
    <row r="115" spans="1:13" s="8" customFormat="1" ht="45" customHeight="1" thickBot="1" x14ac:dyDescent="0.3">
      <c r="A115" s="3"/>
      <c r="B115" s="7"/>
      <c r="C115" s="2"/>
      <c r="D115" s="15"/>
      <c r="E115" s="2"/>
      <c r="F115" s="2"/>
      <c r="G115" s="2"/>
      <c r="H115" s="2"/>
      <c r="I115" s="4"/>
      <c r="J115" s="2"/>
      <c r="K115" s="2"/>
      <c r="L115" s="12"/>
      <c r="M115" s="6"/>
    </row>
    <row r="116" spans="1:13" s="8" customFormat="1" ht="45" customHeight="1" thickBot="1" x14ac:dyDescent="0.3">
      <c r="A116" s="3"/>
      <c r="B116" s="7"/>
      <c r="C116" s="2"/>
      <c r="D116" s="15"/>
      <c r="E116" s="2"/>
      <c r="F116" s="2"/>
      <c r="G116" s="2"/>
      <c r="H116" s="2"/>
      <c r="I116" s="4"/>
      <c r="J116" s="2"/>
      <c r="K116" s="2"/>
      <c r="L116" s="12"/>
      <c r="M116" s="6"/>
    </row>
    <row r="117" spans="1:13" s="8" customFormat="1" ht="45" customHeight="1" thickBot="1" x14ac:dyDescent="0.3">
      <c r="A117" s="3"/>
      <c r="B117" s="7"/>
      <c r="C117" s="2"/>
      <c r="D117" s="15"/>
      <c r="E117" s="2"/>
      <c r="F117" s="2"/>
      <c r="G117" s="2"/>
      <c r="H117" s="2"/>
      <c r="I117" s="4"/>
      <c r="J117" s="2"/>
      <c r="K117" s="2"/>
      <c r="L117" s="12"/>
      <c r="M117" s="6"/>
    </row>
    <row r="118" spans="1:13" s="8" customFormat="1" ht="45" customHeight="1" thickBot="1" x14ac:dyDescent="0.3">
      <c r="A118" s="3"/>
      <c r="B118" s="7"/>
      <c r="C118" s="2"/>
      <c r="D118" s="15"/>
      <c r="E118" s="2"/>
      <c r="F118" s="2"/>
      <c r="G118" s="2"/>
      <c r="H118" s="2"/>
      <c r="I118" s="4"/>
      <c r="J118" s="2"/>
      <c r="K118" s="2"/>
      <c r="L118" s="12"/>
      <c r="M118" s="6"/>
    </row>
    <row r="119" spans="1:13" s="8" customFormat="1" ht="45" customHeight="1" thickBot="1" x14ac:dyDescent="0.3">
      <c r="A119" s="3"/>
      <c r="B119" s="7"/>
      <c r="C119" s="2"/>
      <c r="D119" s="15"/>
      <c r="E119" s="2"/>
      <c r="F119" s="2"/>
      <c r="G119" s="2"/>
      <c r="H119" s="2"/>
      <c r="I119" s="4"/>
      <c r="J119" s="2"/>
      <c r="K119" s="2"/>
      <c r="L119" s="12"/>
      <c r="M119" s="6"/>
    </row>
    <row r="120" spans="1:13" s="8" customFormat="1" ht="45" customHeight="1" thickBot="1" x14ac:dyDescent="0.3">
      <c r="A120" s="3"/>
      <c r="B120" s="7"/>
      <c r="C120" s="2"/>
      <c r="D120" s="15"/>
      <c r="E120" s="2"/>
      <c r="F120" s="2"/>
      <c r="G120" s="2"/>
      <c r="H120" s="2"/>
      <c r="I120" s="4"/>
      <c r="J120" s="2"/>
      <c r="K120" s="2"/>
      <c r="L120" s="12"/>
      <c r="M120" s="6"/>
    </row>
    <row r="121" spans="1:13" s="8" customFormat="1" ht="45" customHeight="1" thickBot="1" x14ac:dyDescent="0.3">
      <c r="A121" s="3"/>
      <c r="B121" s="7"/>
      <c r="C121" s="2"/>
      <c r="D121" s="10"/>
      <c r="E121" s="2"/>
      <c r="F121" s="2"/>
      <c r="G121" s="2"/>
      <c r="H121" s="2"/>
      <c r="I121" s="4"/>
      <c r="J121" s="2"/>
      <c r="K121" s="2"/>
      <c r="L121" s="12"/>
      <c r="M121" s="6"/>
    </row>
    <row r="122" spans="1:13" s="8" customFormat="1" ht="45" customHeight="1" thickBot="1" x14ac:dyDescent="0.3">
      <c r="A122" s="3"/>
      <c r="B122" s="7"/>
      <c r="C122" s="2"/>
      <c r="D122" s="10"/>
      <c r="E122" s="2"/>
      <c r="F122" s="2"/>
      <c r="G122" s="2"/>
      <c r="H122" s="2"/>
      <c r="I122" s="4"/>
      <c r="J122" s="2"/>
      <c r="K122" s="2"/>
      <c r="L122" s="12"/>
      <c r="M122" s="6"/>
    </row>
    <row r="123" spans="1:13" s="8" customFormat="1" ht="45" customHeight="1" thickBot="1" x14ac:dyDescent="0.3">
      <c r="A123" s="3"/>
      <c r="B123" s="7"/>
      <c r="C123" s="2"/>
      <c r="D123" s="10"/>
      <c r="E123" s="2"/>
      <c r="F123" s="2"/>
      <c r="G123" s="2"/>
      <c r="H123" s="2"/>
      <c r="I123" s="4"/>
      <c r="J123" s="2"/>
      <c r="K123" s="2"/>
      <c r="L123" s="12"/>
      <c r="M123" s="6"/>
    </row>
    <row r="124" spans="1:13" s="8" customFormat="1" ht="45" customHeight="1" thickBot="1" x14ac:dyDescent="0.3">
      <c r="A124" s="3"/>
      <c r="B124" s="7"/>
      <c r="C124" s="2"/>
      <c r="D124" s="15"/>
      <c r="E124" s="2"/>
      <c r="F124" s="2"/>
      <c r="G124" s="2"/>
      <c r="H124" s="2"/>
      <c r="I124" s="4"/>
      <c r="J124" s="2"/>
      <c r="K124" s="2"/>
      <c r="L124" s="12"/>
      <c r="M124" s="6"/>
    </row>
    <row r="125" spans="1:13" s="8" customFormat="1" ht="45" customHeight="1" thickBot="1" x14ac:dyDescent="0.3">
      <c r="A125" s="3"/>
      <c r="B125" s="7"/>
      <c r="C125" s="2"/>
      <c r="D125" s="10"/>
      <c r="E125" s="2"/>
      <c r="F125" s="2"/>
      <c r="G125" s="2"/>
      <c r="H125" s="2"/>
      <c r="I125" s="4"/>
      <c r="J125" s="2"/>
      <c r="K125" s="2"/>
      <c r="L125" s="12"/>
      <c r="M125" s="6"/>
    </row>
    <row r="126" spans="1:13" s="8" customFormat="1" ht="45" customHeight="1" thickBot="1" x14ac:dyDescent="0.3">
      <c r="A126" s="3"/>
      <c r="B126" s="7"/>
      <c r="C126" s="2"/>
      <c r="D126" s="15"/>
      <c r="E126" s="2"/>
      <c r="F126" s="2"/>
      <c r="G126" s="2"/>
      <c r="H126" s="2"/>
      <c r="I126" s="4"/>
      <c r="J126" s="2"/>
      <c r="K126" s="2"/>
      <c r="L126" s="12"/>
      <c r="M126" s="6"/>
    </row>
    <row r="127" spans="1:13" s="8" customFormat="1" ht="45" customHeight="1" thickBot="1" x14ac:dyDescent="0.3">
      <c r="A127" s="3"/>
      <c r="B127" s="7"/>
      <c r="C127" s="2"/>
      <c r="D127" s="10"/>
      <c r="E127" s="2"/>
      <c r="F127" s="2"/>
      <c r="G127" s="2"/>
      <c r="H127" s="2"/>
      <c r="I127" s="4"/>
      <c r="J127" s="2"/>
      <c r="K127" s="2"/>
      <c r="L127" s="12"/>
      <c r="M127" s="6"/>
    </row>
    <row r="128" spans="1:13" s="8" customFormat="1" ht="45" customHeight="1" thickBot="1" x14ac:dyDescent="0.3">
      <c r="A128" s="3"/>
      <c r="B128" s="7"/>
      <c r="C128" s="2"/>
      <c r="D128" s="15"/>
      <c r="E128" s="2"/>
      <c r="F128" s="2"/>
      <c r="G128" s="2"/>
      <c r="H128" s="2"/>
      <c r="I128" s="4"/>
      <c r="J128" s="2"/>
      <c r="K128" s="2"/>
      <c r="L128" s="12"/>
      <c r="M128" s="6"/>
    </row>
    <row r="129" spans="1:13" s="8" customFormat="1" ht="45" customHeight="1" thickBot="1" x14ac:dyDescent="0.3">
      <c r="A129" s="3"/>
      <c r="B129" s="7"/>
      <c r="C129" s="2"/>
      <c r="D129" s="15"/>
      <c r="E129" s="2"/>
      <c r="F129" s="2"/>
      <c r="G129" s="2"/>
      <c r="H129" s="2"/>
      <c r="I129" s="4"/>
      <c r="J129" s="2"/>
      <c r="K129" s="2"/>
      <c r="L129" s="12"/>
      <c r="M129" s="6"/>
    </row>
    <row r="130" spans="1:13" s="8" customFormat="1" ht="45" customHeight="1" thickBot="1" x14ac:dyDescent="0.3">
      <c r="A130" s="3"/>
      <c r="B130" s="7"/>
      <c r="C130" s="2"/>
      <c r="D130" s="15"/>
      <c r="E130" s="2"/>
      <c r="F130" s="2"/>
      <c r="G130" s="2"/>
      <c r="H130" s="2"/>
      <c r="I130" s="4"/>
      <c r="J130" s="2"/>
      <c r="K130" s="2"/>
      <c r="L130" s="12"/>
      <c r="M130" s="6"/>
    </row>
    <row r="131" spans="1:13" s="8" customFormat="1" ht="45" customHeight="1" thickBot="1" x14ac:dyDescent="0.3">
      <c r="A131" s="3"/>
      <c r="B131" s="7"/>
      <c r="C131" s="2"/>
      <c r="D131" s="15"/>
      <c r="E131" s="2"/>
      <c r="F131" s="2"/>
      <c r="G131" s="2"/>
      <c r="H131" s="2"/>
      <c r="I131" s="4"/>
      <c r="J131" s="2"/>
      <c r="K131" s="2"/>
      <c r="L131" s="12"/>
      <c r="M131" s="6"/>
    </row>
    <row r="132" spans="1:13" s="8" customFormat="1" ht="45" customHeight="1" thickBot="1" x14ac:dyDescent="0.3">
      <c r="A132" s="3"/>
      <c r="B132" s="7"/>
      <c r="C132" s="2"/>
      <c r="D132" s="15"/>
      <c r="E132" s="2"/>
      <c r="F132" s="2"/>
      <c r="G132" s="2"/>
      <c r="H132" s="2"/>
      <c r="I132" s="4"/>
      <c r="J132" s="2"/>
      <c r="K132" s="2"/>
      <c r="L132" s="12"/>
      <c r="M132" s="6"/>
    </row>
    <row r="133" spans="1:13" s="8" customFormat="1" ht="45" customHeight="1" thickBot="1" x14ac:dyDescent="0.3">
      <c r="A133" s="3"/>
      <c r="B133" s="7"/>
      <c r="C133" s="2"/>
      <c r="D133" s="15"/>
      <c r="E133" s="2"/>
      <c r="F133" s="2"/>
      <c r="G133" s="2"/>
      <c r="H133" s="2"/>
      <c r="I133" s="4"/>
      <c r="J133" s="2"/>
      <c r="K133" s="2"/>
      <c r="L133" s="12"/>
      <c r="M133" s="6"/>
    </row>
    <row r="134" spans="1:13" s="8" customFormat="1" ht="45" customHeight="1" thickBot="1" x14ac:dyDescent="0.3">
      <c r="A134" s="3"/>
      <c r="B134" s="7"/>
      <c r="C134" s="2"/>
      <c r="D134" s="15"/>
      <c r="E134" s="2"/>
      <c r="F134" s="2"/>
      <c r="G134" s="2"/>
      <c r="H134" s="2"/>
      <c r="I134" s="4"/>
      <c r="J134" s="2"/>
      <c r="K134" s="2"/>
      <c r="L134" s="12"/>
      <c r="M134" s="6"/>
    </row>
    <row r="135" spans="1:13" s="8" customFormat="1" ht="45" customHeight="1" thickBot="1" x14ac:dyDescent="0.3">
      <c r="A135" s="3"/>
      <c r="B135" s="7"/>
      <c r="C135" s="2"/>
      <c r="D135" s="15"/>
      <c r="E135" s="2"/>
      <c r="F135" s="2"/>
      <c r="G135" s="2"/>
      <c r="H135" s="2"/>
      <c r="I135" s="4"/>
      <c r="J135" s="2"/>
      <c r="K135" s="2"/>
      <c r="L135" s="12"/>
      <c r="M135" s="6"/>
    </row>
    <row r="136" spans="1:13" s="8" customFormat="1" ht="45" customHeight="1" thickBot="1" x14ac:dyDescent="0.3">
      <c r="A136" s="3"/>
      <c r="B136" s="7"/>
      <c r="C136" s="2"/>
      <c r="D136" s="10"/>
      <c r="E136" s="2"/>
      <c r="F136" s="2"/>
      <c r="G136" s="2"/>
      <c r="H136" s="2"/>
      <c r="I136" s="4"/>
      <c r="J136" s="2"/>
      <c r="K136" s="2"/>
      <c r="L136" s="12"/>
      <c r="M136" s="6"/>
    </row>
    <row r="137" spans="1:13" s="8" customFormat="1" ht="45" customHeight="1" thickBot="1" x14ac:dyDescent="0.3">
      <c r="A137" s="3"/>
      <c r="B137" s="7"/>
      <c r="C137" s="2"/>
      <c r="D137" s="15"/>
      <c r="E137" s="2"/>
      <c r="F137" s="2"/>
      <c r="G137" s="2"/>
      <c r="H137" s="2"/>
      <c r="I137" s="4"/>
      <c r="J137" s="2"/>
      <c r="K137" s="2"/>
      <c r="L137" s="12"/>
      <c r="M137" s="6"/>
    </row>
    <row r="138" spans="1:13" s="8" customFormat="1" ht="45" customHeight="1" thickBot="1" x14ac:dyDescent="0.3">
      <c r="A138" s="3"/>
      <c r="B138" s="7"/>
      <c r="C138" s="2"/>
      <c r="D138" s="15"/>
      <c r="E138" s="2"/>
      <c r="F138" s="2"/>
      <c r="G138" s="2"/>
      <c r="H138" s="2"/>
      <c r="I138" s="4"/>
      <c r="J138" s="2"/>
      <c r="K138" s="2"/>
      <c r="L138" s="12"/>
      <c r="M138" s="6"/>
    </row>
    <row r="139" spans="1:13" s="8" customFormat="1" ht="45" customHeight="1" thickBot="1" x14ac:dyDescent="0.3">
      <c r="A139" s="3"/>
      <c r="B139" s="7"/>
      <c r="C139" s="2"/>
      <c r="D139" s="15"/>
      <c r="E139" s="2"/>
      <c r="F139" s="2"/>
      <c r="G139" s="2"/>
      <c r="H139" s="2"/>
      <c r="I139" s="4"/>
      <c r="J139" s="2"/>
      <c r="K139" s="2"/>
      <c r="L139" s="12"/>
      <c r="M139" s="6"/>
    </row>
    <row r="140" spans="1:13" s="8" customFormat="1" ht="45" customHeight="1" thickBot="1" x14ac:dyDescent="0.3">
      <c r="A140" s="3"/>
      <c r="B140" s="7"/>
      <c r="C140" s="2"/>
      <c r="D140" s="15"/>
      <c r="E140" s="2"/>
      <c r="F140" s="2"/>
      <c r="G140" s="2"/>
      <c r="H140" s="2"/>
      <c r="I140" s="4"/>
      <c r="J140" s="2"/>
      <c r="K140" s="2"/>
      <c r="L140" s="12"/>
      <c r="M140" s="6"/>
    </row>
    <row r="141" spans="1:13" s="8" customFormat="1" ht="45" customHeight="1" thickBot="1" x14ac:dyDescent="0.3">
      <c r="A141" s="3"/>
      <c r="B141" s="7"/>
      <c r="C141" s="2"/>
      <c r="D141" s="15"/>
      <c r="E141" s="2"/>
      <c r="F141" s="2"/>
      <c r="G141" s="2"/>
      <c r="H141" s="2"/>
      <c r="I141" s="4"/>
      <c r="J141" s="2"/>
      <c r="K141" s="2"/>
      <c r="L141" s="12"/>
      <c r="M141" s="6"/>
    </row>
    <row r="142" spans="1:13" s="8" customFormat="1" ht="45" customHeight="1" thickBot="1" x14ac:dyDescent="0.3">
      <c r="A142" s="3"/>
      <c r="B142" s="7"/>
      <c r="C142" s="2"/>
      <c r="D142" s="15"/>
      <c r="E142" s="2"/>
      <c r="F142" s="2"/>
      <c r="G142" s="2"/>
      <c r="H142" s="2"/>
      <c r="I142" s="4"/>
      <c r="J142" s="2"/>
      <c r="K142" s="2"/>
      <c r="L142" s="12"/>
      <c r="M142" s="6"/>
    </row>
    <row r="143" spans="1:13" s="8" customFormat="1" ht="45" customHeight="1" thickBot="1" x14ac:dyDescent="0.3">
      <c r="A143" s="3"/>
      <c r="B143" s="7"/>
      <c r="C143" s="2"/>
      <c r="D143" s="15"/>
      <c r="E143" s="2"/>
      <c r="F143" s="2"/>
      <c r="G143" s="2"/>
      <c r="H143" s="2"/>
      <c r="I143" s="4"/>
      <c r="J143" s="2"/>
      <c r="K143" s="2"/>
      <c r="L143" s="12"/>
      <c r="M143" s="6"/>
    </row>
    <row r="144" spans="1:13" s="8" customFormat="1" ht="45" customHeight="1" thickBot="1" x14ac:dyDescent="0.3">
      <c r="A144" s="3"/>
      <c r="B144" s="7"/>
      <c r="C144" s="2"/>
      <c r="D144" s="15"/>
      <c r="E144" s="2"/>
      <c r="F144" s="2"/>
      <c r="G144" s="2"/>
      <c r="H144" s="2"/>
      <c r="I144" s="4"/>
      <c r="J144" s="2"/>
      <c r="K144" s="2"/>
      <c r="L144" s="12"/>
      <c r="M144" s="6"/>
    </row>
    <row r="145" spans="1:13" s="8" customFormat="1" ht="45" customHeight="1" thickBot="1" x14ac:dyDescent="0.3">
      <c r="A145" s="3"/>
      <c r="B145" s="7"/>
      <c r="C145" s="2"/>
      <c r="D145" s="15"/>
      <c r="E145" s="2"/>
      <c r="F145" s="2"/>
      <c r="G145" s="2"/>
      <c r="H145" s="2"/>
      <c r="I145" s="4"/>
      <c r="J145" s="2"/>
      <c r="K145" s="2"/>
      <c r="L145" s="12"/>
      <c r="M145" s="6"/>
    </row>
    <row r="146" spans="1:13" s="8" customFormat="1" ht="45" customHeight="1" thickBot="1" x14ac:dyDescent="0.3">
      <c r="A146" s="3"/>
      <c r="B146" s="7"/>
      <c r="C146" s="10"/>
      <c r="D146" s="15"/>
      <c r="E146" s="2"/>
      <c r="F146" s="2"/>
      <c r="G146" s="2"/>
      <c r="H146" s="2"/>
      <c r="I146" s="4"/>
      <c r="J146" s="2"/>
      <c r="K146" s="2"/>
      <c r="L146" s="12"/>
      <c r="M146" s="6"/>
    </row>
    <row r="147" spans="1:13" s="8" customFormat="1" ht="45" customHeight="1" thickBot="1" x14ac:dyDescent="0.3">
      <c r="A147" s="3"/>
      <c r="B147" s="7"/>
      <c r="C147" s="10"/>
      <c r="D147" s="15"/>
      <c r="E147" s="2"/>
      <c r="F147" s="2"/>
      <c r="G147" s="2"/>
      <c r="H147" s="2"/>
      <c r="I147" s="4"/>
      <c r="J147" s="2"/>
      <c r="K147" s="2"/>
      <c r="L147" s="12"/>
      <c r="M147" s="6"/>
    </row>
    <row r="148" spans="1:13" s="8" customFormat="1" ht="45" customHeight="1" thickBot="1" x14ac:dyDescent="0.3">
      <c r="A148" s="3"/>
      <c r="B148" s="7"/>
      <c r="C148" s="2"/>
      <c r="D148" s="15"/>
      <c r="E148" s="2"/>
      <c r="F148" s="2"/>
      <c r="G148" s="2"/>
      <c r="H148" s="2"/>
      <c r="I148" s="4"/>
      <c r="J148" s="2"/>
      <c r="K148" s="2"/>
      <c r="L148" s="12"/>
      <c r="M148" s="6"/>
    </row>
    <row r="149" spans="1:13" s="8" customFormat="1" ht="45" customHeight="1" thickBot="1" x14ac:dyDescent="0.3">
      <c r="A149" s="3"/>
      <c r="B149" s="7"/>
      <c r="C149" s="2"/>
      <c r="D149" s="15"/>
      <c r="E149" s="2"/>
      <c r="F149" s="2"/>
      <c r="G149" s="2"/>
      <c r="H149" s="2"/>
      <c r="I149" s="4"/>
      <c r="J149" s="2"/>
      <c r="K149" s="2"/>
      <c r="L149" s="12"/>
      <c r="M149" s="6"/>
    </row>
    <row r="150" spans="1:13" s="8" customFormat="1" ht="45" customHeight="1" thickBot="1" x14ac:dyDescent="0.3">
      <c r="A150" s="3"/>
      <c r="B150" s="7"/>
      <c r="C150" s="2"/>
      <c r="D150" s="15"/>
      <c r="E150" s="2"/>
      <c r="F150" s="2"/>
      <c r="G150" s="2"/>
      <c r="H150" s="2"/>
      <c r="I150" s="4"/>
      <c r="J150" s="2"/>
      <c r="K150" s="2"/>
      <c r="L150" s="12"/>
      <c r="M150" s="6"/>
    </row>
    <row r="151" spans="1:13" s="8" customFormat="1" ht="45" customHeight="1" thickBot="1" x14ac:dyDescent="0.3">
      <c r="A151" s="3"/>
      <c r="B151" s="7"/>
      <c r="C151" s="2"/>
      <c r="D151" s="16"/>
      <c r="E151" s="2"/>
      <c r="F151" s="2"/>
      <c r="G151" s="2"/>
      <c r="H151" s="2"/>
      <c r="I151" s="4"/>
      <c r="J151" s="2"/>
      <c r="K151" s="2"/>
      <c r="L151" s="12"/>
      <c r="M151" s="6"/>
    </row>
    <row r="152" spans="1:13" s="8" customFormat="1" ht="45" customHeight="1" thickBot="1" x14ac:dyDescent="0.3">
      <c r="A152" s="3"/>
      <c r="B152" s="7"/>
      <c r="C152" s="2"/>
      <c r="D152" s="16"/>
      <c r="E152" s="2"/>
      <c r="F152" s="2"/>
      <c r="G152" s="2"/>
      <c r="H152" s="2"/>
      <c r="I152" s="4"/>
      <c r="J152" s="2"/>
      <c r="K152" s="2"/>
      <c r="L152" s="12"/>
      <c r="M152" s="6"/>
    </row>
    <row r="153" spans="1:13" s="8" customFormat="1" ht="45" customHeight="1" thickBot="1" x14ac:dyDescent="0.3">
      <c r="A153" s="3"/>
      <c r="B153" s="7"/>
      <c r="C153" s="2"/>
      <c r="D153" s="15"/>
      <c r="E153" s="2"/>
      <c r="F153" s="2"/>
      <c r="G153" s="2"/>
      <c r="H153" s="2"/>
      <c r="I153" s="4"/>
      <c r="J153" s="2"/>
      <c r="K153" s="2"/>
      <c r="L153" s="12"/>
      <c r="M153" s="6"/>
    </row>
    <row r="154" spans="1:13" s="8" customFormat="1" ht="45" customHeight="1" thickBot="1" x14ac:dyDescent="0.3">
      <c r="A154" s="3"/>
      <c r="B154" s="7"/>
      <c r="C154" s="2"/>
      <c r="D154" s="15"/>
      <c r="E154" s="2"/>
      <c r="F154" s="2"/>
      <c r="G154" s="2"/>
      <c r="H154" s="2"/>
      <c r="I154" s="4"/>
      <c r="J154" s="2"/>
      <c r="K154" s="2"/>
      <c r="L154" s="12"/>
      <c r="M154" s="6"/>
    </row>
    <row r="155" spans="1:13" s="8" customFormat="1" ht="45" customHeight="1" thickBot="1" x14ac:dyDescent="0.3">
      <c r="A155" s="3"/>
      <c r="B155" s="7"/>
      <c r="C155" s="2"/>
      <c r="D155" s="15"/>
      <c r="E155" s="2"/>
      <c r="F155" s="2"/>
      <c r="G155" s="2"/>
      <c r="H155" s="2"/>
      <c r="I155" s="4"/>
      <c r="J155" s="2"/>
      <c r="K155" s="2"/>
      <c r="L155" s="12"/>
      <c r="M155" s="6"/>
    </row>
    <row r="156" spans="1:13" s="8" customFormat="1" ht="45" customHeight="1" thickBot="1" x14ac:dyDescent="0.3">
      <c r="A156" s="3"/>
      <c r="B156" s="7"/>
      <c r="C156" s="2"/>
      <c r="D156" s="15"/>
      <c r="E156" s="2"/>
      <c r="F156" s="2"/>
      <c r="G156" s="2"/>
      <c r="H156" s="2"/>
      <c r="I156" s="4"/>
      <c r="J156" s="2"/>
      <c r="K156" s="2"/>
      <c r="L156" s="12"/>
      <c r="M156" s="6"/>
    </row>
    <row r="157" spans="1:13" s="8" customFormat="1" ht="45" customHeight="1" thickBot="1" x14ac:dyDescent="0.3">
      <c r="A157" s="3"/>
      <c r="B157" s="7"/>
      <c r="C157" s="2"/>
      <c r="D157" s="15"/>
      <c r="E157" s="2"/>
      <c r="F157" s="2"/>
      <c r="G157" s="2"/>
      <c r="H157" s="2"/>
      <c r="I157" s="4"/>
      <c r="J157" s="2"/>
      <c r="K157" s="2"/>
      <c r="L157" s="12"/>
      <c r="M157" s="6"/>
    </row>
    <row r="158" spans="1:13" s="8" customFormat="1" ht="45" customHeight="1" thickBot="1" x14ac:dyDescent="0.3">
      <c r="A158" s="3"/>
      <c r="B158" s="7"/>
      <c r="C158" s="2"/>
      <c r="D158" s="15"/>
      <c r="E158" s="2"/>
      <c r="F158" s="2"/>
      <c r="G158" s="2"/>
      <c r="H158" s="2"/>
      <c r="I158" s="4"/>
      <c r="J158" s="2"/>
      <c r="K158" s="2"/>
      <c r="L158" s="12"/>
      <c r="M158" s="6"/>
    </row>
    <row r="159" spans="1:13" s="8" customFormat="1" ht="45" customHeight="1" thickBot="1" x14ac:dyDescent="0.3">
      <c r="A159" s="3"/>
      <c r="B159" s="7"/>
      <c r="C159" s="2"/>
      <c r="D159" s="10"/>
      <c r="E159" s="2"/>
      <c r="F159" s="2"/>
      <c r="G159" s="2"/>
      <c r="H159" s="2"/>
      <c r="I159" s="4"/>
      <c r="J159" s="2"/>
      <c r="K159" s="2"/>
      <c r="L159" s="12"/>
      <c r="M159" s="6"/>
    </row>
    <row r="160" spans="1:13" s="8" customFormat="1" ht="45" customHeight="1" thickBot="1" x14ac:dyDescent="0.3">
      <c r="A160" s="3"/>
      <c r="B160" s="7"/>
      <c r="C160" s="2"/>
      <c r="D160" s="15"/>
      <c r="E160" s="2"/>
      <c r="F160" s="2"/>
      <c r="G160" s="2"/>
      <c r="H160" s="2"/>
      <c r="I160" s="4"/>
      <c r="J160" s="2"/>
      <c r="K160" s="2"/>
      <c r="L160" s="12"/>
      <c r="M160" s="6"/>
    </row>
    <row r="161" spans="1:13" s="8" customFormat="1" ht="45" customHeight="1" thickBot="1" x14ac:dyDescent="0.3">
      <c r="A161" s="3"/>
      <c r="B161" s="7"/>
      <c r="C161" s="2"/>
      <c r="D161" s="15"/>
      <c r="E161" s="2"/>
      <c r="F161" s="2"/>
      <c r="G161" s="2"/>
      <c r="H161" s="2"/>
      <c r="I161" s="4"/>
      <c r="J161" s="2"/>
      <c r="K161" s="2"/>
      <c r="L161" s="12"/>
      <c r="M161" s="6"/>
    </row>
    <row r="162" spans="1:13" s="8" customFormat="1" ht="45" customHeight="1" thickBot="1" x14ac:dyDescent="0.3">
      <c r="A162" s="3"/>
      <c r="B162" s="7"/>
      <c r="C162" s="2"/>
      <c r="D162" s="15"/>
      <c r="E162" s="2"/>
      <c r="F162" s="2"/>
      <c r="G162" s="2"/>
      <c r="H162" s="2"/>
      <c r="I162" s="4"/>
      <c r="J162" s="2"/>
      <c r="K162" s="2"/>
      <c r="L162" s="12"/>
      <c r="M162" s="6"/>
    </row>
    <row r="163" spans="1:13" s="8" customFormat="1" ht="45" customHeight="1" thickBot="1" x14ac:dyDescent="0.3">
      <c r="A163" s="3"/>
      <c r="B163" s="7"/>
      <c r="C163" s="2"/>
      <c r="D163" s="15"/>
      <c r="E163" s="2"/>
      <c r="F163" s="2"/>
      <c r="G163" s="2"/>
      <c r="H163" s="2"/>
      <c r="I163" s="4"/>
      <c r="J163" s="2"/>
      <c r="K163" s="2"/>
      <c r="L163" s="12"/>
      <c r="M163" s="6"/>
    </row>
    <row r="164" spans="1:13" s="8" customFormat="1" ht="45" customHeight="1" thickBot="1" x14ac:dyDescent="0.3">
      <c r="A164" s="3"/>
      <c r="B164" s="7"/>
      <c r="C164" s="2"/>
      <c r="D164" s="15"/>
      <c r="E164" s="2"/>
      <c r="F164" s="2"/>
      <c r="G164" s="2"/>
      <c r="H164" s="2"/>
      <c r="I164" s="4"/>
      <c r="J164" s="2"/>
      <c r="K164" s="2"/>
      <c r="L164" s="12"/>
      <c r="M164" s="6"/>
    </row>
    <row r="165" spans="1:13" s="8" customFormat="1" ht="45" customHeight="1" thickBot="1" x14ac:dyDescent="0.3">
      <c r="A165" s="3"/>
      <c r="B165" s="7"/>
      <c r="C165" s="2"/>
      <c r="D165" s="15"/>
      <c r="E165" s="2"/>
      <c r="F165" s="2"/>
      <c r="G165" s="2"/>
      <c r="H165" s="2"/>
      <c r="I165" s="4"/>
      <c r="J165" s="2"/>
      <c r="K165" s="2"/>
      <c r="L165" s="12"/>
      <c r="M165" s="6"/>
    </row>
    <row r="166" spans="1:13" s="8" customFormat="1" ht="45" customHeight="1" thickBot="1" x14ac:dyDescent="0.3">
      <c r="A166" s="3"/>
      <c r="B166" s="7"/>
      <c r="C166" s="2"/>
      <c r="D166" s="15"/>
      <c r="E166" s="2"/>
      <c r="F166" s="2"/>
      <c r="G166" s="2"/>
      <c r="H166" s="2"/>
      <c r="I166" s="4"/>
      <c r="J166" s="2"/>
      <c r="K166" s="2"/>
      <c r="L166" s="12"/>
      <c r="M166" s="6"/>
    </row>
    <row r="167" spans="1:13" s="8" customFormat="1" ht="45" customHeight="1" thickBot="1" x14ac:dyDescent="0.3">
      <c r="A167" s="3"/>
      <c r="B167" s="7"/>
      <c r="C167" s="2"/>
      <c r="D167" s="16"/>
      <c r="E167" s="2"/>
      <c r="F167" s="2"/>
      <c r="G167" s="2"/>
      <c r="H167" s="2"/>
      <c r="I167" s="4"/>
      <c r="J167" s="2"/>
      <c r="K167" s="2"/>
      <c r="L167" s="12"/>
      <c r="M167" s="6"/>
    </row>
    <row r="168" spans="1:13" s="8" customFormat="1" ht="45" customHeight="1" thickBot="1" x14ac:dyDescent="0.3">
      <c r="A168" s="3"/>
      <c r="B168" s="7"/>
      <c r="C168" s="2"/>
      <c r="D168" s="16"/>
      <c r="E168" s="2"/>
      <c r="F168" s="2"/>
      <c r="G168" s="2"/>
      <c r="H168" s="2"/>
      <c r="I168" s="4"/>
      <c r="J168" s="2"/>
      <c r="K168" s="2"/>
      <c r="L168" s="12"/>
      <c r="M168" s="6"/>
    </row>
    <row r="169" spans="1:13" s="8" customFormat="1" ht="45" customHeight="1" thickBot="1" x14ac:dyDescent="0.3">
      <c r="A169" s="3"/>
      <c r="B169" s="7"/>
      <c r="C169" s="2"/>
      <c r="D169" s="15"/>
      <c r="E169" s="2"/>
      <c r="F169" s="2"/>
      <c r="G169" s="2"/>
      <c r="H169" s="2"/>
      <c r="I169" s="4"/>
      <c r="J169" s="2"/>
      <c r="K169" s="2"/>
      <c r="L169" s="12"/>
      <c r="M169" s="6"/>
    </row>
    <row r="170" spans="1:13" s="8" customFormat="1" ht="45" customHeight="1" thickBot="1" x14ac:dyDescent="0.3">
      <c r="A170" s="3"/>
      <c r="B170" s="7"/>
      <c r="C170" s="2"/>
      <c r="D170" s="15"/>
      <c r="E170" s="2"/>
      <c r="F170" s="2"/>
      <c r="G170" s="2"/>
      <c r="H170" s="2"/>
      <c r="I170" s="4"/>
      <c r="J170" s="2"/>
      <c r="K170" s="2"/>
      <c r="L170" s="12"/>
      <c r="M170" s="6"/>
    </row>
    <row r="171" spans="1:13" s="8" customFormat="1" ht="45" customHeight="1" thickBot="1" x14ac:dyDescent="0.3">
      <c r="A171" s="3"/>
      <c r="B171" s="7"/>
      <c r="C171" s="2"/>
      <c r="D171" s="15"/>
      <c r="E171" s="2"/>
      <c r="F171" s="2"/>
      <c r="G171" s="2"/>
      <c r="H171" s="2"/>
      <c r="I171" s="4"/>
      <c r="J171" s="2"/>
      <c r="K171" s="2"/>
      <c r="L171" s="12"/>
      <c r="M171" s="6"/>
    </row>
    <row r="172" spans="1:13" s="8" customFormat="1" ht="45" customHeight="1" thickBot="1" x14ac:dyDescent="0.3">
      <c r="A172" s="3"/>
      <c r="B172" s="7"/>
      <c r="C172" s="2"/>
      <c r="D172" s="15"/>
      <c r="E172" s="2"/>
      <c r="F172" s="2"/>
      <c r="G172" s="2"/>
      <c r="H172" s="2"/>
      <c r="I172" s="4"/>
      <c r="J172" s="2"/>
      <c r="K172" s="2"/>
      <c r="L172" s="12"/>
      <c r="M172" s="6"/>
    </row>
    <row r="173" spans="1:13" s="8" customFormat="1" ht="45" customHeight="1" thickBot="1" x14ac:dyDescent="0.3">
      <c r="A173" s="3"/>
      <c r="B173" s="7"/>
      <c r="C173" s="2"/>
      <c r="D173" s="15"/>
      <c r="E173" s="2"/>
      <c r="F173" s="2"/>
      <c r="G173" s="2"/>
      <c r="H173" s="2"/>
      <c r="I173" s="4"/>
      <c r="J173" s="2"/>
      <c r="K173" s="2"/>
      <c r="L173" s="12"/>
      <c r="M173" s="6"/>
    </row>
    <row r="174" spans="1:13" s="8" customFormat="1" ht="45" customHeight="1" thickBot="1" x14ac:dyDescent="0.3">
      <c r="A174" s="3"/>
      <c r="B174" s="7"/>
      <c r="C174" s="2"/>
      <c r="D174" s="15"/>
      <c r="E174" s="2"/>
      <c r="F174" s="2"/>
      <c r="G174" s="2"/>
      <c r="H174" s="2"/>
      <c r="I174" s="4"/>
      <c r="J174" s="2"/>
      <c r="K174" s="2"/>
      <c r="L174" s="12"/>
      <c r="M174" s="6"/>
    </row>
    <row r="175" spans="1:13" s="8" customFormat="1" ht="45" customHeight="1" thickBot="1" x14ac:dyDescent="0.3">
      <c r="A175" s="3"/>
      <c r="B175" s="7"/>
      <c r="C175" s="2"/>
      <c r="D175" s="15"/>
      <c r="E175" s="2"/>
      <c r="F175" s="2"/>
      <c r="G175" s="2"/>
      <c r="H175" s="2"/>
      <c r="I175" s="4"/>
      <c r="J175" s="2"/>
      <c r="K175" s="2"/>
      <c r="L175" s="12"/>
      <c r="M175" s="6"/>
    </row>
    <row r="176" spans="1:13" s="8" customFormat="1" ht="45" customHeight="1" thickBot="1" x14ac:dyDescent="0.3">
      <c r="A176" s="3"/>
      <c r="B176" s="7"/>
      <c r="C176" s="2"/>
      <c r="D176" s="15"/>
      <c r="E176" s="2"/>
      <c r="F176" s="2"/>
      <c r="G176" s="2"/>
      <c r="H176" s="2"/>
      <c r="I176" s="4"/>
      <c r="J176" s="2"/>
      <c r="K176" s="2"/>
      <c r="L176" s="12"/>
      <c r="M176" s="6"/>
    </row>
    <row r="177" spans="1:13" s="8" customFormat="1" ht="45" customHeight="1" thickBot="1" x14ac:dyDescent="0.3">
      <c r="A177" s="3"/>
      <c r="B177" s="7"/>
      <c r="C177" s="2"/>
      <c r="D177" s="15"/>
      <c r="E177" s="2"/>
      <c r="F177" s="2"/>
      <c r="G177" s="2"/>
      <c r="H177" s="2"/>
      <c r="I177" s="4"/>
      <c r="J177" s="2"/>
      <c r="K177" s="2"/>
      <c r="L177" s="12"/>
      <c r="M177" s="6"/>
    </row>
    <row r="178" spans="1:13" s="8" customFormat="1" ht="45" customHeight="1" thickBot="1" x14ac:dyDescent="0.3">
      <c r="A178" s="3"/>
      <c r="B178" s="7"/>
      <c r="C178" s="2"/>
      <c r="D178" s="15"/>
      <c r="E178" s="2"/>
      <c r="F178" s="2"/>
      <c r="G178" s="2"/>
      <c r="H178" s="2"/>
      <c r="I178" s="4"/>
      <c r="J178" s="2"/>
      <c r="K178" s="2"/>
      <c r="L178" s="12"/>
      <c r="M178" s="6"/>
    </row>
    <row r="179" spans="1:13" s="8" customFormat="1" ht="45" customHeight="1" thickBot="1" x14ac:dyDescent="0.3">
      <c r="A179" s="3"/>
      <c r="B179" s="7"/>
      <c r="C179" s="2"/>
      <c r="D179" s="15"/>
      <c r="E179" s="2"/>
      <c r="F179" s="2"/>
      <c r="G179" s="2"/>
      <c r="H179" s="2"/>
      <c r="I179" s="4"/>
      <c r="J179" s="2"/>
      <c r="K179" s="2"/>
      <c r="L179" s="12"/>
      <c r="M179" s="6"/>
    </row>
    <row r="180" spans="1:13" s="8" customFormat="1" ht="45" customHeight="1" thickBot="1" x14ac:dyDescent="0.3">
      <c r="A180" s="3"/>
      <c r="B180" s="7"/>
      <c r="C180" s="2"/>
      <c r="D180" s="15"/>
      <c r="E180" s="2"/>
      <c r="F180" s="2"/>
      <c r="G180" s="2"/>
      <c r="H180" s="2"/>
      <c r="I180" s="4"/>
      <c r="J180" s="2"/>
      <c r="K180" s="2"/>
      <c r="L180" s="12"/>
      <c r="M180" s="6"/>
    </row>
    <row r="181" spans="1:13" s="8" customFormat="1" ht="45" customHeight="1" thickBot="1" x14ac:dyDescent="0.3">
      <c r="A181" s="3"/>
      <c r="B181" s="7"/>
      <c r="C181" s="2"/>
      <c r="D181" s="10"/>
      <c r="E181" s="2"/>
      <c r="F181" s="2"/>
      <c r="G181" s="2"/>
      <c r="H181" s="2"/>
      <c r="I181" s="4"/>
      <c r="J181" s="2"/>
      <c r="K181" s="2"/>
      <c r="L181" s="12"/>
      <c r="M181" s="6"/>
    </row>
    <row r="182" spans="1:13" s="8" customFormat="1" ht="45" customHeight="1" thickBot="1" x14ac:dyDescent="0.3">
      <c r="A182" s="3"/>
      <c r="B182" s="7"/>
      <c r="C182" s="2"/>
      <c r="D182" s="15"/>
      <c r="E182" s="2"/>
      <c r="F182" s="2"/>
      <c r="G182" s="2"/>
      <c r="H182" s="2"/>
      <c r="I182" s="4"/>
      <c r="J182" s="2"/>
      <c r="K182" s="2"/>
      <c r="L182" s="12"/>
      <c r="M182" s="6"/>
    </row>
    <row r="183" spans="1:13" s="8" customFormat="1" ht="45" customHeight="1" thickBot="1" x14ac:dyDescent="0.3">
      <c r="A183" s="3"/>
      <c r="B183" s="7"/>
      <c r="C183" s="2"/>
      <c r="D183" s="15"/>
      <c r="E183" s="2"/>
      <c r="F183" s="2"/>
      <c r="G183" s="2"/>
      <c r="H183" s="2"/>
      <c r="I183" s="4"/>
      <c r="J183" s="2"/>
      <c r="K183" s="2"/>
      <c r="L183" s="12"/>
      <c r="M183" s="6"/>
    </row>
    <row r="184" spans="1:13" s="8" customFormat="1" ht="45" customHeight="1" thickBot="1" x14ac:dyDescent="0.3">
      <c r="A184" s="3"/>
      <c r="B184" s="7"/>
      <c r="C184" s="2"/>
      <c r="D184" s="15"/>
      <c r="E184" s="2"/>
      <c r="F184" s="2"/>
      <c r="G184" s="2"/>
      <c r="H184" s="2"/>
      <c r="I184" s="4"/>
      <c r="J184" s="2"/>
      <c r="K184" s="2"/>
      <c r="L184" s="12"/>
      <c r="M184" s="6"/>
    </row>
    <row r="185" spans="1:13" s="8" customFormat="1" ht="45" customHeight="1" thickBot="1" x14ac:dyDescent="0.3">
      <c r="A185" s="3"/>
      <c r="B185" s="7"/>
      <c r="C185" s="2"/>
      <c r="D185" s="15"/>
      <c r="E185" s="2"/>
      <c r="F185" s="2"/>
      <c r="G185" s="2"/>
      <c r="H185" s="2"/>
      <c r="I185" s="4"/>
      <c r="J185" s="2"/>
      <c r="K185" s="2"/>
      <c r="L185" s="12"/>
      <c r="M185" s="6"/>
    </row>
    <row r="186" spans="1:13" s="8" customFormat="1" ht="45" customHeight="1" thickBot="1" x14ac:dyDescent="0.3">
      <c r="A186" s="3"/>
      <c r="B186" s="7"/>
      <c r="C186" s="2"/>
      <c r="D186" s="15"/>
      <c r="E186" s="2"/>
      <c r="F186" s="2"/>
      <c r="G186" s="2"/>
      <c r="H186" s="2"/>
      <c r="I186" s="4"/>
      <c r="J186" s="2"/>
      <c r="K186" s="2"/>
      <c r="L186" s="12"/>
      <c r="M186" s="6"/>
    </row>
    <row r="187" spans="1:13" s="8" customFormat="1" ht="45" customHeight="1" thickBot="1" x14ac:dyDescent="0.3">
      <c r="A187" s="3"/>
      <c r="B187" s="7"/>
      <c r="C187" s="2"/>
      <c r="D187" s="15"/>
      <c r="E187" s="2"/>
      <c r="F187" s="2"/>
      <c r="G187" s="2"/>
      <c r="H187" s="2"/>
      <c r="I187" s="4"/>
      <c r="J187" s="2"/>
      <c r="K187" s="2"/>
      <c r="L187" s="12"/>
      <c r="M187" s="6"/>
    </row>
    <row r="188" spans="1:13" s="8" customFormat="1" ht="45" customHeight="1" thickBot="1" x14ac:dyDescent="0.3">
      <c r="A188" s="3"/>
      <c r="B188" s="7"/>
      <c r="C188" s="2"/>
      <c r="D188" s="15"/>
      <c r="E188" s="2"/>
      <c r="F188" s="2"/>
      <c r="G188" s="2"/>
      <c r="H188" s="2"/>
      <c r="I188" s="4"/>
      <c r="J188" s="2"/>
      <c r="K188" s="2"/>
      <c r="L188" s="12"/>
      <c r="M188" s="6"/>
    </row>
    <row r="189" spans="1:13" s="8" customFormat="1" ht="45" customHeight="1" thickBot="1" x14ac:dyDescent="0.3">
      <c r="A189" s="3"/>
      <c r="B189" s="7"/>
      <c r="C189" s="2"/>
      <c r="D189" s="2"/>
      <c r="E189" s="2"/>
      <c r="F189" s="2"/>
      <c r="G189" s="2"/>
      <c r="H189" s="2"/>
      <c r="I189" s="4"/>
      <c r="J189" s="2"/>
      <c r="K189" s="2"/>
      <c r="L189" s="12"/>
      <c r="M189" s="6"/>
    </row>
    <row r="190" spans="1:13" s="8" customFormat="1" ht="45" customHeight="1" thickBot="1" x14ac:dyDescent="0.3">
      <c r="A190" s="3"/>
      <c r="B190" s="7"/>
      <c r="C190" s="2"/>
      <c r="D190" s="15"/>
      <c r="E190" s="2"/>
      <c r="F190" s="2"/>
      <c r="G190" s="2"/>
      <c r="H190" s="2"/>
      <c r="I190" s="4"/>
      <c r="J190" s="2"/>
      <c r="K190" s="2"/>
      <c r="L190" s="12"/>
      <c r="M190" s="6"/>
    </row>
    <row r="191" spans="1:13" s="8" customFormat="1" ht="45" customHeight="1" thickBot="1" x14ac:dyDescent="0.3">
      <c r="A191" s="3"/>
      <c r="B191" s="7"/>
      <c r="C191" s="2"/>
      <c r="D191" s="15"/>
      <c r="E191" s="2"/>
      <c r="F191" s="2"/>
      <c r="G191" s="2"/>
      <c r="H191" s="2"/>
      <c r="I191" s="4"/>
      <c r="J191" s="2"/>
      <c r="K191" s="2"/>
      <c r="L191" s="12"/>
      <c r="M191" s="6"/>
    </row>
    <row r="192" spans="1:13" s="8" customFormat="1" ht="45" customHeight="1" thickBot="1" x14ac:dyDescent="0.3">
      <c r="A192" s="3"/>
      <c r="B192" s="7"/>
      <c r="C192" s="2"/>
      <c r="D192" s="15"/>
      <c r="E192" s="2"/>
      <c r="F192" s="2"/>
      <c r="G192" s="2"/>
      <c r="H192" s="2"/>
      <c r="I192" s="4"/>
      <c r="J192" s="2"/>
      <c r="K192" s="2"/>
      <c r="L192" s="12"/>
      <c r="M192" s="6"/>
    </row>
    <row r="193" spans="1:13" s="8" customFormat="1" ht="45" customHeight="1" thickBot="1" x14ac:dyDescent="0.3">
      <c r="A193" s="3"/>
      <c r="B193" s="7"/>
      <c r="C193" s="2"/>
      <c r="D193" s="15"/>
      <c r="E193" s="2"/>
      <c r="F193" s="2"/>
      <c r="G193" s="2"/>
      <c r="H193" s="2"/>
      <c r="I193" s="4"/>
      <c r="J193" s="2"/>
      <c r="K193" s="2"/>
      <c r="L193" s="12"/>
      <c r="M193" s="6"/>
    </row>
    <row r="194" spans="1:13" s="8" customFormat="1" ht="45" customHeight="1" thickBot="1" x14ac:dyDescent="0.3">
      <c r="A194" s="3"/>
      <c r="B194" s="7"/>
      <c r="C194" s="2"/>
      <c r="D194" s="15"/>
      <c r="E194" s="2"/>
      <c r="F194" s="2"/>
      <c r="G194" s="2"/>
      <c r="H194" s="2"/>
      <c r="I194" s="4"/>
      <c r="J194" s="2"/>
      <c r="K194" s="2"/>
      <c r="L194" s="12"/>
      <c r="M194" s="6"/>
    </row>
    <row r="195" spans="1:13" s="8" customFormat="1" ht="45" customHeight="1" thickBot="1" x14ac:dyDescent="0.3">
      <c r="A195" s="3"/>
      <c r="B195" s="7"/>
      <c r="C195" s="2"/>
      <c r="D195" s="15"/>
      <c r="E195" s="2"/>
      <c r="F195" s="2"/>
      <c r="G195" s="2"/>
      <c r="H195" s="2"/>
      <c r="I195" s="4"/>
      <c r="J195" s="2"/>
      <c r="K195" s="2"/>
      <c r="L195" s="12"/>
      <c r="M195" s="6"/>
    </row>
    <row r="196" spans="1:13" s="8" customFormat="1" ht="45" customHeight="1" thickBot="1" x14ac:dyDescent="0.3">
      <c r="A196" s="3"/>
      <c r="B196" s="7"/>
      <c r="C196" s="2"/>
      <c r="D196" s="15"/>
      <c r="E196" s="2"/>
      <c r="F196" s="2"/>
      <c r="G196" s="2"/>
      <c r="H196" s="2"/>
      <c r="I196" s="4"/>
      <c r="J196" s="2"/>
      <c r="K196" s="2"/>
      <c r="L196" s="12"/>
      <c r="M196" s="6"/>
    </row>
    <row r="197" spans="1:13" s="8" customFormat="1" ht="45" customHeight="1" thickBot="1" x14ac:dyDescent="0.3">
      <c r="A197" s="3"/>
      <c r="B197" s="7"/>
      <c r="C197" s="2"/>
      <c r="D197" s="15"/>
      <c r="E197" s="2"/>
      <c r="F197" s="2"/>
      <c r="G197" s="2"/>
      <c r="H197" s="2"/>
      <c r="I197" s="4"/>
      <c r="J197" s="2"/>
      <c r="K197" s="2"/>
      <c r="L197" s="12"/>
      <c r="M197" s="6"/>
    </row>
    <row r="198" spans="1:13" s="8" customFormat="1" ht="45" customHeight="1" thickBot="1" x14ac:dyDescent="0.3">
      <c r="A198" s="3"/>
      <c r="B198" s="7"/>
      <c r="C198" s="2"/>
      <c r="D198" s="15"/>
      <c r="E198" s="2"/>
      <c r="F198" s="2"/>
      <c r="G198" s="2"/>
      <c r="H198" s="2"/>
      <c r="I198" s="4"/>
      <c r="J198" s="2"/>
      <c r="K198" s="2"/>
      <c r="L198" s="12"/>
      <c r="M198" s="6"/>
    </row>
    <row r="199" spans="1:13" s="8" customFormat="1" ht="45" customHeight="1" thickBot="1" x14ac:dyDescent="0.3">
      <c r="A199" s="3"/>
      <c r="B199" s="7"/>
      <c r="C199" s="2"/>
      <c r="D199" s="15"/>
      <c r="E199" s="2"/>
      <c r="F199" s="2"/>
      <c r="G199" s="2"/>
      <c r="H199" s="2"/>
      <c r="I199" s="4"/>
      <c r="J199" s="2"/>
      <c r="K199" s="2"/>
      <c r="L199" s="12"/>
      <c r="M199" s="6"/>
    </row>
    <row r="200" spans="1:13" s="8" customFormat="1" ht="45" customHeight="1" thickBot="1" x14ac:dyDescent="0.3">
      <c r="A200" s="3"/>
      <c r="B200" s="7"/>
      <c r="C200" s="2"/>
      <c r="D200" s="15"/>
      <c r="E200" s="2"/>
      <c r="F200" s="2"/>
      <c r="G200" s="2"/>
      <c r="H200" s="2"/>
      <c r="I200" s="4"/>
      <c r="J200" s="2"/>
      <c r="K200" s="2"/>
      <c r="L200" s="12"/>
      <c r="M200" s="6"/>
    </row>
    <row r="201" spans="1:13" s="8" customFormat="1" ht="45" customHeight="1" thickBot="1" x14ac:dyDescent="0.3">
      <c r="A201" s="3"/>
      <c r="B201" s="7"/>
      <c r="C201" s="2"/>
      <c r="D201" s="15"/>
      <c r="E201" s="2"/>
      <c r="F201" s="2"/>
      <c r="G201" s="2"/>
      <c r="H201" s="2"/>
      <c r="I201" s="4"/>
      <c r="J201" s="2"/>
      <c r="K201" s="2"/>
      <c r="L201" s="12"/>
      <c r="M201" s="6"/>
    </row>
    <row r="202" spans="1:13" s="8" customFormat="1" ht="45" customHeight="1" thickBot="1" x14ac:dyDescent="0.3">
      <c r="A202" s="3"/>
      <c r="B202" s="7"/>
      <c r="C202" s="2"/>
      <c r="D202" s="15"/>
      <c r="E202" s="2"/>
      <c r="F202" s="2"/>
      <c r="G202" s="2"/>
      <c r="H202" s="2"/>
      <c r="I202" s="4"/>
      <c r="J202" s="2"/>
      <c r="K202" s="2"/>
      <c r="L202" s="12"/>
      <c r="M202" s="6"/>
    </row>
    <row r="203" spans="1:13" s="8" customFormat="1" ht="45" customHeight="1" thickBot="1" x14ac:dyDescent="0.3">
      <c r="A203" s="3"/>
      <c r="B203" s="7"/>
      <c r="C203" s="2"/>
      <c r="D203" s="10"/>
      <c r="E203" s="7"/>
      <c r="F203" s="2"/>
      <c r="G203" s="2"/>
      <c r="H203" s="2"/>
      <c r="I203" s="4"/>
      <c r="J203" s="2"/>
      <c r="K203" s="2"/>
      <c r="L203" s="12"/>
      <c r="M203" s="6"/>
    </row>
    <row r="204" spans="1:13" s="8" customFormat="1" ht="45" customHeight="1" thickBot="1" x14ac:dyDescent="0.3">
      <c r="A204" s="3"/>
      <c r="B204" s="7"/>
      <c r="C204" s="4"/>
      <c r="D204" s="10"/>
      <c r="E204" s="7"/>
      <c r="F204" s="2"/>
      <c r="G204" s="2"/>
      <c r="H204" s="2"/>
      <c r="I204" s="4"/>
      <c r="J204" s="2"/>
      <c r="K204" s="2"/>
      <c r="L204" s="12"/>
      <c r="M204" s="6"/>
    </row>
    <row r="205" spans="1:13" s="8" customFormat="1" ht="45" customHeight="1" thickBot="1" x14ac:dyDescent="0.3">
      <c r="A205" s="3"/>
      <c r="B205" s="7"/>
      <c r="C205" s="7"/>
      <c r="D205" s="15"/>
      <c r="E205" s="7"/>
      <c r="F205" s="2"/>
      <c r="G205" s="2"/>
      <c r="H205" s="2"/>
      <c r="I205" s="4"/>
      <c r="J205" s="2"/>
      <c r="K205" s="2"/>
      <c r="L205" s="12"/>
      <c r="M205" s="6"/>
    </row>
    <row r="206" spans="1:13" s="8" customFormat="1" ht="45" customHeight="1" thickBot="1" x14ac:dyDescent="0.3">
      <c r="A206" s="3"/>
      <c r="B206" s="7"/>
      <c r="C206" s="7"/>
      <c r="D206" s="15"/>
      <c r="E206" s="7"/>
      <c r="F206" s="2"/>
      <c r="G206" s="2"/>
      <c r="H206" s="2"/>
      <c r="I206" s="4"/>
      <c r="J206" s="2"/>
      <c r="K206" s="2"/>
      <c r="L206" s="12"/>
      <c r="M206" s="6"/>
    </row>
    <row r="207" spans="1:13" s="8" customFormat="1" ht="45" customHeight="1" thickBot="1" x14ac:dyDescent="0.3">
      <c r="A207" s="3"/>
      <c r="B207" s="7"/>
      <c r="C207" s="7"/>
      <c r="D207" s="15"/>
      <c r="E207" s="7"/>
      <c r="F207" s="2"/>
      <c r="G207" s="2"/>
      <c r="H207" s="2"/>
      <c r="I207" s="4"/>
      <c r="J207" s="2"/>
      <c r="K207" s="2"/>
      <c r="L207" s="12"/>
      <c r="M207" s="6"/>
    </row>
    <row r="208" spans="1:13" s="8" customFormat="1" ht="45" customHeight="1" thickBot="1" x14ac:dyDescent="0.3">
      <c r="A208" s="3"/>
      <c r="B208" s="7"/>
      <c r="C208" s="7"/>
      <c r="D208" s="15"/>
      <c r="E208" s="7"/>
      <c r="F208" s="2"/>
      <c r="G208" s="2"/>
      <c r="H208" s="2"/>
      <c r="I208" s="4"/>
      <c r="J208" s="2"/>
      <c r="K208" s="2"/>
      <c r="L208" s="12"/>
      <c r="M208" s="6"/>
    </row>
    <row r="209" spans="1:13" s="8" customFormat="1" ht="45" customHeight="1" thickBot="1" x14ac:dyDescent="0.3">
      <c r="A209" s="3"/>
      <c r="B209" s="7"/>
      <c r="C209" s="7"/>
      <c r="D209" s="15"/>
      <c r="E209" s="7"/>
      <c r="F209" s="2"/>
      <c r="G209" s="2"/>
      <c r="H209" s="2"/>
      <c r="I209" s="4"/>
      <c r="J209" s="2"/>
      <c r="K209" s="2"/>
      <c r="L209" s="12"/>
      <c r="M209" s="6"/>
    </row>
    <row r="210" spans="1:13" s="8" customFormat="1" ht="45" customHeight="1" thickBot="1" x14ac:dyDescent="0.3">
      <c r="A210" s="3"/>
      <c r="B210" s="7"/>
      <c r="C210" s="7"/>
      <c r="D210" s="15"/>
      <c r="E210" s="7"/>
      <c r="F210" s="2"/>
      <c r="G210" s="2"/>
      <c r="H210" s="2"/>
      <c r="I210" s="4"/>
      <c r="J210" s="2"/>
      <c r="K210" s="2"/>
      <c r="L210" s="12"/>
      <c r="M210" s="6"/>
    </row>
    <row r="211" spans="1:13" s="8" customFormat="1" ht="45" customHeight="1" thickBot="1" x14ac:dyDescent="0.3">
      <c r="A211" s="3"/>
      <c r="B211" s="7"/>
      <c r="C211" s="7"/>
      <c r="D211" s="16"/>
      <c r="E211" s="7"/>
      <c r="F211" s="2"/>
      <c r="G211" s="2"/>
      <c r="H211" s="2"/>
      <c r="I211" s="4"/>
      <c r="J211" s="2"/>
      <c r="K211" s="2"/>
      <c r="L211" s="12"/>
      <c r="M211" s="6"/>
    </row>
    <row r="212" spans="1:13" s="8" customFormat="1" ht="45" customHeight="1" thickBot="1" x14ac:dyDescent="0.3">
      <c r="A212" s="3"/>
      <c r="B212" s="7"/>
      <c r="C212" s="4"/>
      <c r="D212" s="13"/>
      <c r="E212" s="7"/>
      <c r="F212" s="2"/>
      <c r="G212" s="2"/>
      <c r="H212" s="7"/>
      <c r="I212" s="4"/>
      <c r="J212" s="2"/>
      <c r="K212" s="2"/>
      <c r="L212" s="12"/>
      <c r="M212" s="6"/>
    </row>
    <row r="213" spans="1:13" s="8" customFormat="1" ht="45" customHeight="1" thickBot="1" x14ac:dyDescent="0.3">
      <c r="A213" s="3"/>
      <c r="B213" s="7"/>
      <c r="C213" s="4"/>
      <c r="D213" s="13"/>
      <c r="E213" s="7"/>
      <c r="F213" s="2"/>
      <c r="G213" s="2"/>
      <c r="H213" s="7"/>
      <c r="I213" s="4"/>
      <c r="J213" s="2"/>
      <c r="K213" s="2"/>
      <c r="L213" s="12"/>
      <c r="M213" s="6"/>
    </row>
    <row r="214" spans="1:13" s="8" customFormat="1" ht="45" customHeight="1" thickBot="1" x14ac:dyDescent="0.3">
      <c r="A214" s="3"/>
      <c r="B214" s="7"/>
      <c r="C214" s="4"/>
      <c r="D214" s="13"/>
      <c r="E214" s="7"/>
      <c r="F214" s="2"/>
      <c r="G214" s="2"/>
      <c r="H214" s="7"/>
      <c r="I214" s="4"/>
      <c r="J214" s="2"/>
      <c r="K214" s="2"/>
      <c r="L214" s="12"/>
      <c r="M214" s="6"/>
    </row>
    <row r="215" spans="1:13" s="8" customFormat="1" ht="45" customHeight="1" thickBot="1" x14ac:dyDescent="0.3">
      <c r="A215" s="3"/>
      <c r="B215" s="7"/>
      <c r="C215" s="7"/>
      <c r="D215" s="15"/>
      <c r="E215" s="7"/>
      <c r="F215" s="2"/>
      <c r="G215" s="2"/>
      <c r="H215" s="2"/>
      <c r="I215" s="4"/>
      <c r="J215" s="2"/>
      <c r="K215" s="2"/>
      <c r="L215" s="12"/>
      <c r="M215" s="6"/>
    </row>
    <row r="216" spans="1:13" s="8" customFormat="1" ht="45" customHeight="1" thickBot="1" x14ac:dyDescent="0.3">
      <c r="A216" s="3"/>
      <c r="B216" s="7"/>
      <c r="C216" s="7"/>
      <c r="D216" s="16"/>
      <c r="E216" s="7"/>
      <c r="F216" s="2"/>
      <c r="G216" s="2"/>
      <c r="H216" s="2"/>
      <c r="I216" s="4"/>
      <c r="J216" s="2"/>
      <c r="K216" s="2"/>
      <c r="L216" s="12"/>
      <c r="M216" s="6"/>
    </row>
    <row r="217" spans="1:13" ht="45" customHeight="1" thickBot="1" x14ac:dyDescent="0.3">
      <c r="A217" s="3"/>
      <c r="B217" s="7"/>
      <c r="C217" s="7"/>
      <c r="D217" s="2"/>
      <c r="E217" s="7"/>
      <c r="F217" s="2"/>
      <c r="G217" s="2"/>
      <c r="H217" s="7"/>
      <c r="I217" s="4"/>
      <c r="J217" s="4"/>
      <c r="K217" s="4"/>
      <c r="L217" s="11"/>
      <c r="M217" s="5"/>
    </row>
    <row r="218" spans="1:13" ht="45" customHeight="1" thickBot="1" x14ac:dyDescent="0.3">
      <c r="A218" s="3"/>
      <c r="B218" s="7"/>
      <c r="C218" s="7"/>
      <c r="D218" s="2"/>
      <c r="E218" s="7"/>
      <c r="F218" s="2"/>
      <c r="G218" s="2"/>
      <c r="H218" s="7"/>
      <c r="I218" s="4"/>
      <c r="J218" s="4"/>
      <c r="K218" s="4"/>
      <c r="L218" s="11"/>
      <c r="M218" s="5"/>
    </row>
    <row r="219" spans="1:13" ht="45" customHeight="1" thickBot="1" x14ac:dyDescent="0.3">
      <c r="A219" s="3"/>
      <c r="B219" s="7"/>
      <c r="C219" s="7"/>
      <c r="D219" s="2"/>
      <c r="E219" s="7"/>
      <c r="F219" s="2"/>
      <c r="G219" s="2"/>
      <c r="H219" s="7"/>
      <c r="I219" s="4"/>
      <c r="J219" s="4"/>
      <c r="K219" s="4"/>
      <c r="L219" s="11"/>
      <c r="M219" s="5"/>
    </row>
    <row r="220" spans="1:13" ht="45" customHeight="1" thickBot="1" x14ac:dyDescent="0.3">
      <c r="A220" s="3"/>
      <c r="B220" s="7"/>
      <c r="C220" s="7"/>
      <c r="D220" s="2"/>
      <c r="E220" s="7"/>
      <c r="F220" s="2"/>
      <c r="G220" s="2"/>
      <c r="H220" s="7"/>
      <c r="I220" s="4"/>
      <c r="J220" s="4"/>
      <c r="K220" s="4"/>
      <c r="L220" s="11"/>
      <c r="M220" s="5"/>
    </row>
    <row r="221" spans="1:13" ht="45" customHeight="1" thickBot="1" x14ac:dyDescent="0.3">
      <c r="A221" s="3"/>
      <c r="B221" s="7"/>
      <c r="C221" s="7"/>
      <c r="D221" s="2"/>
      <c r="E221" s="7"/>
      <c r="F221" s="2"/>
      <c r="G221" s="2"/>
      <c r="H221" s="7"/>
      <c r="I221" s="4"/>
      <c r="J221" s="4"/>
      <c r="K221" s="4"/>
      <c r="L221" s="11"/>
      <c r="M221" s="5"/>
    </row>
    <row r="222" spans="1:13" ht="45" customHeight="1" thickBot="1" x14ac:dyDescent="0.3">
      <c r="A222" s="3"/>
      <c r="B222" s="7"/>
      <c r="C222" s="7"/>
      <c r="D222" s="2"/>
      <c r="E222" s="7"/>
      <c r="F222" s="2"/>
      <c r="G222" s="2"/>
      <c r="H222" s="7"/>
      <c r="I222" s="4"/>
      <c r="J222" s="4"/>
      <c r="K222" s="4"/>
      <c r="L222" s="11"/>
      <c r="M222" s="5"/>
    </row>
    <row r="223" spans="1:13" s="8" customFormat="1" ht="45" customHeight="1" thickBot="1" x14ac:dyDescent="0.3">
      <c r="A223" s="3"/>
      <c r="B223" s="7"/>
      <c r="C223" s="4"/>
      <c r="D223" s="10"/>
      <c r="E223" s="7"/>
      <c r="F223" s="2"/>
      <c r="G223" s="2"/>
      <c r="H223" s="7"/>
      <c r="I223" s="4"/>
      <c r="J223" s="2"/>
      <c r="K223" s="2"/>
      <c r="L223" s="12"/>
      <c r="M223" s="6"/>
    </row>
    <row r="224" spans="1:13" s="8" customFormat="1" ht="45" customHeight="1" thickBot="1" x14ac:dyDescent="0.3">
      <c r="A224" s="3"/>
      <c r="B224" s="7"/>
      <c r="C224" s="4"/>
      <c r="D224" s="10"/>
      <c r="E224" s="7"/>
      <c r="F224" s="2"/>
      <c r="G224" s="2"/>
      <c r="H224" s="7"/>
      <c r="I224" s="4"/>
      <c r="J224" s="2"/>
      <c r="K224" s="2"/>
      <c r="L224" s="12"/>
      <c r="M224" s="6"/>
    </row>
    <row r="225" spans="1:13" s="8" customFormat="1" ht="45" customHeight="1" thickBot="1" x14ac:dyDescent="0.3">
      <c r="A225" s="3"/>
      <c r="B225" s="7"/>
      <c r="C225" s="4"/>
      <c r="D225" s="15"/>
      <c r="E225" s="7"/>
      <c r="F225" s="2"/>
      <c r="G225" s="2"/>
      <c r="H225" s="7"/>
      <c r="I225" s="4"/>
      <c r="J225" s="2"/>
      <c r="K225" s="2"/>
      <c r="L225" s="12"/>
      <c r="M225" s="27"/>
    </row>
    <row r="226" spans="1:13" s="8" customFormat="1" ht="45" customHeight="1" thickBot="1" x14ac:dyDescent="0.3">
      <c r="A226" s="3"/>
      <c r="B226" s="7"/>
      <c r="C226" s="4"/>
      <c r="D226" s="2"/>
      <c r="E226" s="7"/>
      <c r="F226" s="2"/>
      <c r="G226" s="2"/>
      <c r="H226" s="7"/>
      <c r="I226" s="4"/>
      <c r="J226" s="2"/>
      <c r="K226" s="2"/>
      <c r="L226" s="12"/>
      <c r="M226" s="6"/>
    </row>
    <row r="227" spans="1:13" s="8" customFormat="1" ht="45" customHeight="1" thickBot="1" x14ac:dyDescent="0.3">
      <c r="A227" s="3"/>
      <c r="B227" s="7"/>
      <c r="C227" s="4"/>
      <c r="D227" s="2"/>
      <c r="E227" s="7"/>
      <c r="F227" s="2"/>
      <c r="G227" s="2"/>
      <c r="H227" s="7"/>
      <c r="I227" s="4"/>
      <c r="J227" s="2"/>
      <c r="K227" s="2"/>
      <c r="L227" s="12"/>
      <c r="M227" s="6"/>
    </row>
    <row r="228" spans="1:13" s="8" customFormat="1" ht="45" customHeight="1" thickBot="1" x14ac:dyDescent="0.3">
      <c r="A228" s="3"/>
      <c r="B228" s="7"/>
      <c r="C228" s="4"/>
      <c r="D228" s="2"/>
      <c r="E228" s="7"/>
      <c r="F228" s="2"/>
      <c r="G228" s="2"/>
      <c r="H228" s="7"/>
      <c r="I228" s="4"/>
      <c r="J228" s="2"/>
      <c r="K228" s="2"/>
      <c r="L228" s="12"/>
      <c r="M228" s="6"/>
    </row>
    <row r="229" spans="1:13" ht="45" customHeight="1" thickBot="1" x14ac:dyDescent="0.3">
      <c r="A229" s="3"/>
      <c r="B229" s="7"/>
      <c r="C229" s="7"/>
      <c r="D229" s="2"/>
      <c r="E229" s="7"/>
      <c r="F229" s="7"/>
      <c r="G229" s="7"/>
      <c r="H229" s="7"/>
      <c r="I229" s="4"/>
      <c r="J229" s="4"/>
      <c r="K229" s="4"/>
      <c r="L229" s="11"/>
      <c r="M229" s="5"/>
    </row>
    <row r="230" spans="1:13" ht="45" customHeight="1" thickBot="1" x14ac:dyDescent="0.3">
      <c r="A230" s="3"/>
      <c r="B230" s="7"/>
      <c r="C230" s="7"/>
      <c r="D230" s="2"/>
      <c r="E230" s="7"/>
      <c r="F230" s="7"/>
      <c r="G230" s="7"/>
      <c r="H230" s="7"/>
      <c r="I230" s="4"/>
      <c r="J230" s="4"/>
      <c r="K230" s="4"/>
      <c r="L230" s="11"/>
      <c r="M230" s="5"/>
    </row>
    <row r="231" spans="1:13" ht="45" customHeight="1" thickBot="1" x14ac:dyDescent="0.3">
      <c r="A231" s="3"/>
      <c r="B231" s="7"/>
      <c r="C231" s="7"/>
      <c r="D231" s="2"/>
      <c r="E231" s="7"/>
      <c r="F231" s="7"/>
      <c r="G231" s="7"/>
      <c r="H231" s="7"/>
      <c r="I231" s="4"/>
      <c r="J231" s="4"/>
      <c r="K231" s="4"/>
      <c r="L231" s="11"/>
      <c r="M231" s="5"/>
    </row>
    <row r="232" spans="1:13" ht="45" customHeight="1" thickBot="1" x14ac:dyDescent="0.3">
      <c r="A232" s="3"/>
      <c r="B232" s="7"/>
      <c r="C232" s="7"/>
      <c r="D232" s="2"/>
      <c r="E232" s="7"/>
      <c r="F232" s="7"/>
      <c r="G232" s="7"/>
      <c r="H232" s="7"/>
      <c r="I232" s="4"/>
      <c r="J232" s="4"/>
      <c r="K232" s="4"/>
      <c r="L232" s="11"/>
      <c r="M232" s="5"/>
    </row>
    <row r="233" spans="1:13" ht="45" customHeight="1" thickBot="1" x14ac:dyDescent="0.3">
      <c r="A233" s="3"/>
      <c r="B233" s="7"/>
      <c r="C233" s="7"/>
      <c r="D233" s="2"/>
      <c r="E233" s="7"/>
      <c r="F233" s="7"/>
      <c r="G233" s="7"/>
      <c r="H233" s="7"/>
      <c r="I233" s="4"/>
      <c r="J233" s="4"/>
      <c r="K233" s="4"/>
      <c r="L233" s="11"/>
      <c r="M233" s="5"/>
    </row>
    <row r="234" spans="1:13" s="8" customFormat="1" ht="45" customHeight="1" thickBot="1" x14ac:dyDescent="0.3">
      <c r="A234" s="3"/>
      <c r="B234" s="7"/>
      <c r="C234" s="7"/>
      <c r="D234" s="10"/>
      <c r="E234" s="7"/>
      <c r="F234" s="7"/>
      <c r="G234" s="7"/>
      <c r="H234" s="7"/>
      <c r="I234" s="4"/>
      <c r="J234" s="4"/>
      <c r="K234" s="2"/>
      <c r="L234" s="12"/>
      <c r="M234" s="27"/>
    </row>
    <row r="235" spans="1:13" s="8" customFormat="1" ht="45" customHeight="1" thickBot="1" x14ac:dyDescent="0.3">
      <c r="A235" s="3"/>
      <c r="B235" s="7"/>
      <c r="C235" s="7"/>
      <c r="D235" s="10"/>
      <c r="E235" s="7"/>
      <c r="F235" s="7"/>
      <c r="G235" s="7"/>
      <c r="H235" s="7"/>
      <c r="I235" s="4"/>
      <c r="J235" s="4"/>
      <c r="K235" s="2"/>
      <c r="L235" s="12"/>
      <c r="M235" s="27"/>
    </row>
    <row r="236" spans="1:13" s="8" customFormat="1" ht="45" customHeight="1" thickBot="1" x14ac:dyDescent="0.3">
      <c r="A236" s="3"/>
      <c r="B236" s="7"/>
      <c r="C236" s="7"/>
      <c r="D236" s="10"/>
      <c r="E236" s="7"/>
      <c r="F236" s="7"/>
      <c r="G236" s="7"/>
      <c r="H236" s="7"/>
      <c r="I236" s="4"/>
      <c r="J236" s="4"/>
      <c r="K236" s="2"/>
      <c r="L236" s="12"/>
      <c r="M236" s="27"/>
    </row>
    <row r="237" spans="1:13" s="8" customFormat="1" ht="45" customHeight="1" thickBot="1" x14ac:dyDescent="0.3">
      <c r="A237" s="3"/>
      <c r="B237" s="7"/>
      <c r="C237" s="7"/>
      <c r="D237" s="10"/>
      <c r="E237" s="7"/>
      <c r="F237" s="7"/>
      <c r="G237" s="7"/>
      <c r="H237" s="7"/>
      <c r="I237" s="4"/>
      <c r="J237" s="4"/>
      <c r="K237" s="2"/>
      <c r="L237" s="12"/>
      <c r="M237" s="27"/>
    </row>
    <row r="238" spans="1:13" ht="45" customHeight="1" thickBot="1" x14ac:dyDescent="0.3">
      <c r="A238" s="3"/>
      <c r="B238" s="7"/>
      <c r="C238" s="7"/>
      <c r="D238" s="2"/>
      <c r="E238" s="7"/>
      <c r="F238" s="7"/>
      <c r="G238" s="7"/>
      <c r="H238" s="7"/>
      <c r="I238" s="4"/>
      <c r="J238" s="4"/>
      <c r="K238" s="4"/>
      <c r="L238" s="11"/>
      <c r="M238" s="5"/>
    </row>
    <row r="239" spans="1:13" s="8" customFormat="1" ht="45" customHeight="1" thickBot="1" x14ac:dyDescent="0.3">
      <c r="A239" s="3"/>
      <c r="B239" s="7"/>
      <c r="C239" s="2"/>
      <c r="D239" s="10"/>
      <c r="E239" s="7"/>
      <c r="F239" s="7"/>
      <c r="G239" s="7"/>
      <c r="H239" s="4"/>
      <c r="I239" s="4"/>
      <c r="J239" s="2"/>
      <c r="K239" s="2"/>
      <c r="L239" s="12"/>
      <c r="M239" s="6"/>
    </row>
    <row r="240" spans="1:13" s="8" customFormat="1" ht="45" customHeight="1" thickBot="1" x14ac:dyDescent="0.3">
      <c r="A240" s="3"/>
      <c r="B240" s="7"/>
      <c r="C240" s="2"/>
      <c r="D240" s="10"/>
      <c r="E240" s="7"/>
      <c r="F240" s="7"/>
      <c r="G240" s="7"/>
      <c r="H240" s="4"/>
      <c r="I240" s="4"/>
      <c r="J240" s="2"/>
      <c r="K240" s="2"/>
      <c r="L240" s="12"/>
      <c r="M240" s="6"/>
    </row>
    <row r="241" spans="1:13" s="8" customFormat="1" ht="45" customHeight="1" thickBot="1" x14ac:dyDescent="0.3">
      <c r="A241" s="3"/>
      <c r="B241" s="7"/>
      <c r="C241" s="2"/>
      <c r="D241" s="10"/>
      <c r="E241" s="7"/>
      <c r="F241" s="7"/>
      <c r="G241" s="7"/>
      <c r="H241" s="4"/>
      <c r="I241" s="4"/>
      <c r="J241" s="2"/>
      <c r="K241" s="2"/>
      <c r="L241" s="12"/>
      <c r="M241" s="6"/>
    </row>
    <row r="242" spans="1:13" s="8" customFormat="1" ht="45" customHeight="1" thickBot="1" x14ac:dyDescent="0.3">
      <c r="A242" s="3"/>
      <c r="B242" s="7"/>
      <c r="C242" s="2"/>
      <c r="D242" s="10"/>
      <c r="E242" s="7"/>
      <c r="F242" s="7"/>
      <c r="G242" s="7"/>
      <c r="H242" s="4"/>
      <c r="I242" s="4"/>
      <c r="J242" s="2"/>
      <c r="K242" s="2"/>
      <c r="L242" s="12"/>
      <c r="M242" s="6"/>
    </row>
    <row r="243" spans="1:13" s="8" customFormat="1" ht="45" customHeight="1" thickBot="1" x14ac:dyDescent="0.3">
      <c r="A243" s="3"/>
      <c r="B243" s="7"/>
      <c r="C243" s="2"/>
      <c r="D243" s="10"/>
      <c r="E243" s="7"/>
      <c r="F243" s="7"/>
      <c r="G243" s="7"/>
      <c r="H243" s="4"/>
      <c r="I243" s="4"/>
      <c r="J243" s="2"/>
      <c r="K243" s="2"/>
      <c r="L243" s="12"/>
      <c r="M243" s="6"/>
    </row>
    <row r="244" spans="1:13" s="8" customFormat="1" ht="45" customHeight="1" thickBot="1" x14ac:dyDescent="0.3">
      <c r="A244" s="3"/>
      <c r="B244" s="7"/>
      <c r="C244" s="2"/>
      <c r="D244" s="10"/>
      <c r="E244" s="7"/>
      <c r="F244" s="2"/>
      <c r="G244" s="2"/>
      <c r="H244" s="7"/>
      <c r="I244" s="4"/>
      <c r="J244" s="2"/>
      <c r="K244" s="2"/>
      <c r="L244" s="12"/>
      <c r="M244" s="6"/>
    </row>
    <row r="245" spans="1:13" s="8" customFormat="1" ht="45" customHeight="1" thickBot="1" x14ac:dyDescent="0.3">
      <c r="A245" s="3"/>
      <c r="B245" s="7"/>
      <c r="C245" s="2"/>
      <c r="D245" s="10"/>
      <c r="E245" s="7"/>
      <c r="F245" s="2"/>
      <c r="G245" s="2"/>
      <c r="H245" s="7"/>
      <c r="I245" s="4"/>
      <c r="J245" s="2"/>
      <c r="K245" s="2"/>
      <c r="L245" s="12"/>
      <c r="M245" s="6"/>
    </row>
    <row r="246" spans="1:13" s="8" customFormat="1" ht="45" customHeight="1" thickBot="1" x14ac:dyDescent="0.3">
      <c r="A246" s="3"/>
      <c r="B246" s="7"/>
      <c r="C246" s="2"/>
      <c r="D246" s="10"/>
      <c r="E246" s="7"/>
      <c r="F246" s="2"/>
      <c r="G246" s="2"/>
      <c r="H246" s="7"/>
      <c r="I246" s="4"/>
      <c r="J246" s="2"/>
      <c r="K246" s="2"/>
      <c r="L246" s="12"/>
      <c r="M246" s="27"/>
    </row>
    <row r="247" spans="1:13" s="8" customFormat="1" ht="45" customHeight="1" thickBot="1" x14ac:dyDescent="0.3">
      <c r="A247" s="3"/>
      <c r="B247" s="7"/>
      <c r="C247" s="10"/>
      <c r="D247" s="10"/>
      <c r="E247" s="7"/>
      <c r="F247" s="2"/>
      <c r="G247" s="2"/>
      <c r="H247" s="7"/>
      <c r="I247" s="4"/>
      <c r="J247" s="2"/>
      <c r="K247" s="2"/>
      <c r="L247" s="12"/>
      <c r="M247" s="6"/>
    </row>
    <row r="248" spans="1:13" s="8" customFormat="1" ht="45" customHeight="1" thickBot="1" x14ac:dyDescent="0.3">
      <c r="A248" s="3"/>
      <c r="B248" s="7"/>
      <c r="C248" s="10"/>
      <c r="D248" s="2"/>
      <c r="E248" s="7"/>
      <c r="F248" s="2"/>
      <c r="G248" s="2"/>
      <c r="H248" s="7"/>
      <c r="I248" s="4"/>
      <c r="J248" s="2"/>
      <c r="K248" s="2"/>
      <c r="L248" s="12"/>
      <c r="M248" s="6"/>
    </row>
    <row r="249" spans="1:13" s="8" customFormat="1" ht="45" customHeight="1" thickBot="1" x14ac:dyDescent="0.3">
      <c r="A249" s="3"/>
      <c r="B249" s="7"/>
      <c r="C249" s="10"/>
      <c r="D249" s="10"/>
      <c r="E249" s="7"/>
      <c r="F249" s="2"/>
      <c r="G249" s="2"/>
      <c r="H249" s="7"/>
      <c r="I249" s="4"/>
      <c r="J249" s="2"/>
      <c r="K249" s="2"/>
      <c r="L249" s="12"/>
      <c r="M249" s="6"/>
    </row>
    <row r="250" spans="1:13" s="8" customFormat="1" ht="45" customHeight="1" thickBot="1" x14ac:dyDescent="0.3">
      <c r="A250" s="3"/>
      <c r="B250" s="7"/>
      <c r="C250" s="4"/>
      <c r="D250" s="13"/>
      <c r="E250" s="7"/>
      <c r="F250" s="2"/>
      <c r="G250" s="2"/>
      <c r="H250" s="7"/>
      <c r="I250" s="4"/>
      <c r="J250" s="2"/>
      <c r="K250" s="2"/>
      <c r="L250" s="12"/>
      <c r="M250" s="6"/>
    </row>
    <row r="251" spans="1:13" s="8" customFormat="1" ht="45" customHeight="1" thickBot="1" x14ac:dyDescent="0.3">
      <c r="A251" s="3"/>
      <c r="B251" s="7"/>
      <c r="C251" s="4"/>
      <c r="D251" s="13"/>
      <c r="E251" s="7"/>
      <c r="F251" s="2"/>
      <c r="G251" s="2"/>
      <c r="H251" s="7"/>
      <c r="I251" s="4"/>
      <c r="J251" s="2"/>
      <c r="K251" s="2"/>
      <c r="L251" s="12"/>
      <c r="M251" s="6"/>
    </row>
    <row r="252" spans="1:13" s="8" customFormat="1" ht="45" customHeight="1" thickBot="1" x14ac:dyDescent="0.3">
      <c r="A252" s="3"/>
      <c r="B252" s="7"/>
      <c r="C252" s="4"/>
      <c r="D252" s="2"/>
      <c r="E252" s="7"/>
      <c r="F252" s="2"/>
      <c r="G252" s="2"/>
      <c r="H252" s="4"/>
      <c r="I252" s="4"/>
      <c r="J252" s="2"/>
      <c r="K252" s="2"/>
      <c r="L252" s="12"/>
      <c r="M252" s="6"/>
    </row>
    <row r="253" spans="1:13" s="8" customFormat="1" ht="45" customHeight="1" thickBot="1" x14ac:dyDescent="0.3">
      <c r="A253" s="3"/>
      <c r="B253" s="7"/>
      <c r="C253" s="4"/>
      <c r="D253" s="10"/>
      <c r="E253" s="7"/>
      <c r="F253" s="2"/>
      <c r="G253" s="2"/>
      <c r="H253" s="4"/>
      <c r="I253" s="4"/>
      <c r="J253" s="2"/>
      <c r="K253" s="2"/>
      <c r="L253" s="12"/>
      <c r="M253" s="6"/>
    </row>
    <row r="254" spans="1:13" ht="45" customHeight="1" thickBot="1" x14ac:dyDescent="0.3">
      <c r="A254" s="3"/>
      <c r="B254" s="7"/>
      <c r="C254" s="7"/>
      <c r="D254" s="2"/>
      <c r="E254" s="7"/>
      <c r="F254" s="7"/>
      <c r="G254" s="7"/>
      <c r="H254" s="7"/>
      <c r="I254" s="4"/>
      <c r="J254" s="4"/>
      <c r="K254" s="4"/>
      <c r="L254" s="11"/>
      <c r="M254" s="5"/>
    </row>
    <row r="255" spans="1:13" s="8" customFormat="1" ht="45" customHeight="1" thickBot="1" x14ac:dyDescent="0.3">
      <c r="A255" s="3"/>
      <c r="B255" s="7"/>
      <c r="C255" s="4"/>
      <c r="D255" s="2"/>
      <c r="E255" s="7"/>
      <c r="F255" s="2"/>
      <c r="G255" s="2"/>
      <c r="H255" s="7"/>
      <c r="I255" s="4"/>
      <c r="J255" s="2"/>
      <c r="K255" s="2"/>
      <c r="L255" s="12"/>
      <c r="M255" s="6"/>
    </row>
    <row r="256" spans="1:13" ht="45" customHeight="1" thickBot="1" x14ac:dyDescent="0.3">
      <c r="A256" s="3"/>
      <c r="B256" s="7"/>
      <c r="C256" s="4"/>
      <c r="D256" s="2"/>
      <c r="E256" s="7"/>
      <c r="F256" s="2"/>
      <c r="G256" s="2"/>
      <c r="H256" s="7"/>
      <c r="I256" s="4"/>
      <c r="J256" s="4"/>
      <c r="K256" s="4"/>
      <c r="L256" s="11"/>
      <c r="M256" s="5"/>
    </row>
    <row r="257" spans="1:13" ht="45" customHeight="1" thickBot="1" x14ac:dyDescent="0.3">
      <c r="A257" s="3"/>
      <c r="B257" s="7"/>
      <c r="C257" s="4"/>
      <c r="D257" s="2"/>
      <c r="E257" s="7"/>
      <c r="F257" s="2"/>
      <c r="G257" s="2"/>
      <c r="H257" s="7"/>
      <c r="I257" s="4"/>
      <c r="J257" s="4"/>
      <c r="K257" s="4"/>
      <c r="L257" s="11"/>
      <c r="M257" s="5"/>
    </row>
    <row r="258" spans="1:13" ht="45" customHeight="1" thickBot="1" x14ac:dyDescent="0.3">
      <c r="A258" s="3"/>
      <c r="B258" s="7"/>
      <c r="C258" s="4"/>
      <c r="D258" s="2"/>
      <c r="E258" s="7"/>
      <c r="F258" s="2"/>
      <c r="G258" s="2"/>
      <c r="H258" s="7"/>
      <c r="I258" s="4"/>
      <c r="J258" s="4"/>
      <c r="K258" s="4"/>
      <c r="L258" s="11"/>
      <c r="M258" s="5"/>
    </row>
    <row r="259" spans="1:13" ht="45" customHeight="1" thickBot="1" x14ac:dyDescent="0.3">
      <c r="A259" s="3"/>
      <c r="B259" s="7"/>
      <c r="C259" s="4"/>
      <c r="D259" s="2"/>
      <c r="E259" s="7"/>
      <c r="F259" s="2"/>
      <c r="G259" s="2"/>
      <c r="H259" s="7"/>
      <c r="I259" s="4"/>
      <c r="J259" s="4"/>
      <c r="K259" s="4"/>
      <c r="L259" s="11"/>
      <c r="M259" s="5"/>
    </row>
    <row r="260" spans="1:13" ht="45" customHeight="1" thickBot="1" x14ac:dyDescent="0.3">
      <c r="A260" s="3"/>
      <c r="B260" s="7"/>
      <c r="C260" s="4"/>
      <c r="D260" s="2"/>
      <c r="E260" s="7"/>
      <c r="F260" s="2"/>
      <c r="G260" s="2"/>
      <c r="H260" s="7"/>
      <c r="I260" s="4"/>
      <c r="J260" s="4"/>
      <c r="K260" s="4"/>
      <c r="L260" s="11"/>
      <c r="M260" s="5"/>
    </row>
    <row r="261" spans="1:13" ht="45" customHeight="1" thickBot="1" x14ac:dyDescent="0.3">
      <c r="A261" s="3"/>
      <c r="B261" s="7"/>
      <c r="C261" s="4"/>
      <c r="D261" s="2"/>
      <c r="E261" s="7"/>
      <c r="F261" s="2"/>
      <c r="G261" s="2"/>
      <c r="H261" s="7"/>
      <c r="I261" s="4"/>
      <c r="J261" s="4"/>
      <c r="K261" s="4"/>
      <c r="L261" s="11"/>
      <c r="M261" s="5"/>
    </row>
    <row r="262" spans="1:13" ht="45" customHeight="1" thickBot="1" x14ac:dyDescent="0.3">
      <c r="A262" s="3"/>
      <c r="B262" s="7"/>
      <c r="C262" s="4"/>
      <c r="D262" s="2"/>
      <c r="E262" s="7"/>
      <c r="F262" s="2"/>
      <c r="G262" s="2"/>
      <c r="H262" s="7"/>
      <c r="I262" s="4"/>
      <c r="J262" s="4"/>
      <c r="K262" s="4"/>
      <c r="L262" s="11"/>
      <c r="M262" s="5"/>
    </row>
    <row r="263" spans="1:13" s="8" customFormat="1" ht="45" customHeight="1" thickBot="1" x14ac:dyDescent="0.3">
      <c r="A263" s="3"/>
      <c r="B263" s="7"/>
      <c r="C263" s="4"/>
      <c r="D263" s="2"/>
      <c r="E263" s="7"/>
      <c r="F263" s="2"/>
      <c r="G263" s="2"/>
      <c r="H263" s="7"/>
      <c r="I263" s="4"/>
      <c r="J263" s="2"/>
      <c r="K263" s="2"/>
      <c r="L263" s="12"/>
      <c r="M263" s="27"/>
    </row>
    <row r="264" spans="1:13" s="8" customFormat="1" ht="45" customHeight="1" thickBot="1" x14ac:dyDescent="0.3">
      <c r="A264" s="3"/>
      <c r="B264" s="7"/>
      <c r="C264" s="4"/>
      <c r="D264" s="2"/>
      <c r="E264" s="7"/>
      <c r="F264" s="2"/>
      <c r="G264" s="2"/>
      <c r="H264" s="7"/>
      <c r="I264" s="4"/>
      <c r="J264" s="2"/>
      <c r="K264" s="2"/>
      <c r="L264" s="12"/>
      <c r="M264" s="27"/>
    </row>
    <row r="265" spans="1:13" s="8" customFormat="1" ht="45" customHeight="1" thickBot="1" x14ac:dyDescent="0.3">
      <c r="A265" s="3"/>
      <c r="B265" s="7"/>
      <c r="C265" s="4"/>
      <c r="D265" s="2"/>
      <c r="E265" s="7"/>
      <c r="F265" s="2"/>
      <c r="G265" s="2"/>
      <c r="H265" s="7"/>
      <c r="I265" s="4"/>
      <c r="J265" s="2"/>
      <c r="K265" s="2"/>
      <c r="L265" s="12"/>
      <c r="M265" s="27"/>
    </row>
    <row r="266" spans="1:13" s="8" customFormat="1" ht="45" customHeight="1" thickBot="1" x14ac:dyDescent="0.3">
      <c r="A266" s="3"/>
      <c r="B266" s="7"/>
      <c r="C266" s="4"/>
      <c r="D266" s="2"/>
      <c r="E266" s="7"/>
      <c r="F266" s="2"/>
      <c r="G266" s="2"/>
      <c r="H266" s="7"/>
      <c r="I266" s="4"/>
      <c r="J266" s="2"/>
      <c r="K266" s="2"/>
      <c r="L266" s="12"/>
      <c r="M266" s="27"/>
    </row>
    <row r="267" spans="1:13" s="8" customFormat="1" ht="45" customHeight="1" thickBot="1" x14ac:dyDescent="0.3">
      <c r="A267" s="3"/>
      <c r="B267" s="7"/>
      <c r="C267" s="4"/>
      <c r="D267" s="2"/>
      <c r="E267" s="7"/>
      <c r="F267" s="2"/>
      <c r="G267" s="2"/>
      <c r="H267" s="7"/>
      <c r="I267" s="4"/>
      <c r="J267" s="2"/>
      <c r="K267" s="2"/>
      <c r="L267" s="12"/>
      <c r="M267" s="27"/>
    </row>
    <row r="268" spans="1:13" s="8" customFormat="1" ht="45" customHeight="1" thickBot="1" x14ac:dyDescent="0.3">
      <c r="A268" s="3"/>
      <c r="B268" s="7"/>
      <c r="C268" s="4"/>
      <c r="D268" s="2"/>
      <c r="E268" s="7"/>
      <c r="F268" s="2"/>
      <c r="G268" s="2"/>
      <c r="H268" s="7"/>
      <c r="I268" s="4"/>
      <c r="J268" s="2"/>
      <c r="K268" s="2"/>
      <c r="L268" s="12"/>
      <c r="M268" s="27"/>
    </row>
    <row r="269" spans="1:13" s="8" customFormat="1" ht="45" customHeight="1" thickBot="1" x14ac:dyDescent="0.3">
      <c r="A269" s="3"/>
      <c r="B269" s="7"/>
      <c r="C269" s="4"/>
      <c r="D269" s="2"/>
      <c r="E269" s="7"/>
      <c r="F269" s="2"/>
      <c r="G269" s="2"/>
      <c r="H269" s="7"/>
      <c r="I269" s="4"/>
      <c r="J269" s="2"/>
      <c r="K269" s="2"/>
      <c r="L269" s="12"/>
      <c r="M269" s="27"/>
    </row>
    <row r="270" spans="1:13" s="8" customFormat="1" ht="45" customHeight="1" thickBot="1" x14ac:dyDescent="0.3">
      <c r="A270" s="3"/>
      <c r="B270" s="7"/>
      <c r="C270" s="4"/>
      <c r="D270" s="2"/>
      <c r="E270" s="7"/>
      <c r="F270" s="2"/>
      <c r="G270" s="2"/>
      <c r="H270" s="7"/>
      <c r="I270" s="4"/>
      <c r="J270" s="2"/>
      <c r="K270" s="2"/>
      <c r="L270" s="12"/>
      <c r="M270" s="27"/>
    </row>
    <row r="271" spans="1:13" s="8" customFormat="1" ht="45" customHeight="1" thickBot="1" x14ac:dyDescent="0.3">
      <c r="A271" s="3"/>
      <c r="B271" s="7"/>
      <c r="C271" s="2"/>
      <c r="D271" s="15"/>
      <c r="E271" s="7"/>
      <c r="F271" s="2"/>
      <c r="G271" s="2"/>
      <c r="H271" s="2"/>
      <c r="I271" s="4"/>
      <c r="J271" s="2"/>
      <c r="K271" s="2"/>
      <c r="L271" s="12"/>
      <c r="M271" s="6"/>
    </row>
    <row r="272" spans="1:13" ht="45" customHeight="1" thickBot="1" x14ac:dyDescent="0.3">
      <c r="A272" s="3"/>
      <c r="B272" s="7"/>
      <c r="C272" s="4"/>
      <c r="D272" s="2"/>
      <c r="E272" s="7"/>
      <c r="F272" s="2"/>
      <c r="G272" s="2"/>
      <c r="H272" s="7"/>
      <c r="I272" s="4"/>
      <c r="J272" s="4"/>
      <c r="K272" s="4"/>
      <c r="L272" s="11"/>
      <c r="M272" s="44"/>
    </row>
    <row r="273" spans="1:13" ht="45" customHeight="1" thickBot="1" x14ac:dyDescent="0.3">
      <c r="A273" s="3"/>
      <c r="B273" s="7"/>
      <c r="C273" s="4"/>
      <c r="D273" s="2"/>
      <c r="E273" s="7"/>
      <c r="F273" s="2"/>
      <c r="G273" s="2"/>
      <c r="H273" s="7"/>
      <c r="I273" s="4"/>
      <c r="J273" s="4"/>
      <c r="K273" s="4"/>
      <c r="L273" s="11"/>
      <c r="M273" s="44"/>
    </row>
    <row r="274" spans="1:13" s="8" customFormat="1" ht="45" customHeight="1" thickBot="1" x14ac:dyDescent="0.3">
      <c r="A274" s="3"/>
      <c r="B274" s="7"/>
      <c r="C274" s="2"/>
      <c r="D274" s="10"/>
      <c r="E274" s="7"/>
      <c r="F274" s="2"/>
      <c r="G274" s="2"/>
      <c r="H274" s="7"/>
      <c r="I274" s="4"/>
      <c r="J274" s="2"/>
      <c r="K274" s="2"/>
      <c r="L274" s="12"/>
      <c r="M274" s="6"/>
    </row>
    <row r="275" spans="1:13" s="8" customFormat="1" ht="45" customHeight="1" thickBot="1" x14ac:dyDescent="0.3">
      <c r="A275" s="3"/>
      <c r="B275" s="7"/>
      <c r="C275" s="2"/>
      <c r="D275" s="10"/>
      <c r="E275" s="7"/>
      <c r="F275" s="2"/>
      <c r="G275" s="2"/>
      <c r="H275" s="7"/>
      <c r="I275" s="4"/>
      <c r="J275" s="2"/>
      <c r="K275" s="2"/>
      <c r="L275" s="12"/>
      <c r="M275" s="27"/>
    </row>
    <row r="276" spans="1:13" s="8" customFormat="1" ht="45" customHeight="1" thickBot="1" x14ac:dyDescent="0.3">
      <c r="A276" s="3"/>
      <c r="B276" s="7"/>
      <c r="C276" s="2"/>
      <c r="D276" s="10"/>
      <c r="E276" s="7"/>
      <c r="F276" s="2"/>
      <c r="G276" s="2"/>
      <c r="H276" s="7"/>
      <c r="I276" s="4"/>
      <c r="J276" s="2"/>
      <c r="K276" s="2"/>
      <c r="L276" s="12"/>
      <c r="M276" s="6"/>
    </row>
    <row r="277" spans="1:13" s="8" customFormat="1" ht="45" customHeight="1" thickBot="1" x14ac:dyDescent="0.3">
      <c r="A277" s="3"/>
      <c r="B277" s="7"/>
      <c r="C277" s="4"/>
      <c r="D277" s="2"/>
      <c r="E277" s="7"/>
      <c r="F277" s="2"/>
      <c r="G277" s="2"/>
      <c r="H277" s="7"/>
      <c r="I277" s="4"/>
      <c r="J277" s="2"/>
      <c r="K277" s="2"/>
      <c r="L277" s="12"/>
      <c r="M277" s="6"/>
    </row>
    <row r="278" spans="1:13" s="8" customFormat="1" ht="45" customHeight="1" thickBot="1" x14ac:dyDescent="0.3">
      <c r="A278" s="3"/>
      <c r="B278" s="7"/>
      <c r="C278" s="4"/>
      <c r="D278" s="13"/>
      <c r="E278" s="7"/>
      <c r="F278" s="2"/>
      <c r="G278" s="2"/>
      <c r="H278" s="7"/>
      <c r="I278" s="4"/>
      <c r="J278" s="2"/>
      <c r="K278" s="2"/>
      <c r="L278" s="12"/>
      <c r="M278" s="6"/>
    </row>
    <row r="279" spans="1:13" ht="45" customHeight="1" thickBot="1" x14ac:dyDescent="0.3">
      <c r="A279" s="3"/>
      <c r="B279" s="7"/>
      <c r="C279" s="4"/>
      <c r="D279" s="2"/>
      <c r="E279" s="7"/>
      <c r="F279" s="2"/>
      <c r="G279" s="2"/>
      <c r="H279" s="7"/>
      <c r="I279" s="4"/>
      <c r="J279" s="4"/>
      <c r="K279" s="4"/>
      <c r="L279" s="11"/>
      <c r="M279" s="44"/>
    </row>
    <row r="280" spans="1:13" s="8" customFormat="1" ht="45" customHeight="1" thickBot="1" x14ac:dyDescent="0.3">
      <c r="A280" s="3"/>
      <c r="B280" s="7"/>
      <c r="C280" s="4"/>
      <c r="D280" s="13"/>
      <c r="E280" s="7"/>
      <c r="F280" s="2"/>
      <c r="G280" s="2"/>
      <c r="H280" s="7"/>
      <c r="I280" s="4"/>
      <c r="J280" s="2"/>
      <c r="K280" s="2"/>
      <c r="L280" s="12"/>
      <c r="M280" s="6"/>
    </row>
    <row r="281" spans="1:13" s="8" customFormat="1" ht="45" customHeight="1" thickBot="1" x14ac:dyDescent="0.3">
      <c r="A281" s="3"/>
      <c r="B281" s="7"/>
      <c r="C281" s="4"/>
      <c r="D281" s="13"/>
      <c r="E281" s="7"/>
      <c r="F281" s="2"/>
      <c r="G281" s="2"/>
      <c r="H281" s="7"/>
      <c r="I281" s="4"/>
      <c r="J281" s="2"/>
      <c r="K281" s="2"/>
      <c r="L281" s="12"/>
      <c r="M281" s="6"/>
    </row>
    <row r="282" spans="1:13" s="8" customFormat="1" ht="45" customHeight="1" thickBot="1" x14ac:dyDescent="0.3">
      <c r="A282" s="3"/>
      <c r="B282" s="7"/>
      <c r="C282" s="4"/>
      <c r="D282" s="10"/>
      <c r="E282" s="7"/>
      <c r="F282" s="2"/>
      <c r="G282" s="2"/>
      <c r="H282" s="7"/>
      <c r="I282" s="4"/>
      <c r="J282" s="2"/>
      <c r="K282" s="2"/>
      <c r="L282" s="12"/>
      <c r="M282" s="6"/>
    </row>
    <row r="283" spans="1:13" s="8" customFormat="1" ht="45" customHeight="1" thickBot="1" x14ac:dyDescent="0.3">
      <c r="A283" s="3"/>
      <c r="B283" s="7"/>
      <c r="C283" s="4"/>
      <c r="D283" s="13"/>
      <c r="E283" s="7"/>
      <c r="F283" s="2"/>
      <c r="G283" s="2"/>
      <c r="H283" s="7"/>
      <c r="I283" s="4"/>
      <c r="J283" s="2"/>
      <c r="K283" s="2"/>
      <c r="L283" s="12"/>
      <c r="M283" s="6"/>
    </row>
    <row r="284" spans="1:13" s="8" customFormat="1" ht="45" customHeight="1" thickBot="1" x14ac:dyDescent="0.3">
      <c r="A284" s="3"/>
      <c r="B284" s="7"/>
      <c r="C284" s="4"/>
      <c r="D284" s="13"/>
      <c r="E284" s="7"/>
      <c r="F284" s="2"/>
      <c r="G284" s="2"/>
      <c r="H284" s="7"/>
      <c r="I284" s="4"/>
      <c r="J284" s="2"/>
      <c r="K284" s="2"/>
      <c r="L284" s="12"/>
      <c r="M284" s="6"/>
    </row>
    <row r="285" spans="1:13" s="8" customFormat="1" ht="45" customHeight="1" thickBot="1" x14ac:dyDescent="0.3">
      <c r="A285" s="3"/>
      <c r="B285" s="7"/>
      <c r="C285" s="4"/>
      <c r="D285" s="13"/>
      <c r="E285" s="7"/>
      <c r="F285" s="2"/>
      <c r="G285" s="2"/>
      <c r="H285" s="7"/>
      <c r="I285" s="4"/>
      <c r="J285" s="2"/>
      <c r="K285" s="2"/>
      <c r="L285" s="12"/>
      <c r="M285" s="6"/>
    </row>
    <row r="286" spans="1:13" s="8" customFormat="1" ht="45" customHeight="1" thickBot="1" x14ac:dyDescent="0.3">
      <c r="A286" s="3"/>
      <c r="B286" s="7"/>
      <c r="C286" s="4"/>
      <c r="D286" s="2"/>
      <c r="E286" s="7"/>
      <c r="F286" s="2"/>
      <c r="G286" s="2"/>
      <c r="H286" s="7"/>
      <c r="I286" s="4"/>
      <c r="J286" s="2"/>
      <c r="K286" s="2"/>
      <c r="L286" s="12"/>
      <c r="M286" s="27"/>
    </row>
    <row r="287" spans="1:13" s="8" customFormat="1" ht="45" customHeight="1" thickBot="1" x14ac:dyDescent="0.3">
      <c r="A287" s="3"/>
      <c r="B287" s="7"/>
      <c r="C287" s="2"/>
      <c r="D287" s="10"/>
      <c r="E287" s="7"/>
      <c r="F287" s="2"/>
      <c r="G287" s="2"/>
      <c r="H287" s="7"/>
      <c r="I287" s="4"/>
      <c r="J287" s="2"/>
      <c r="K287" s="2"/>
      <c r="L287" s="12"/>
      <c r="M287" s="6"/>
    </row>
    <row r="288" spans="1:13" s="8" customFormat="1" ht="45" customHeight="1" thickBot="1" x14ac:dyDescent="0.3">
      <c r="A288" s="3"/>
      <c r="B288" s="7"/>
      <c r="C288" s="2"/>
      <c r="D288" s="10"/>
      <c r="E288" s="7"/>
      <c r="F288" s="2"/>
      <c r="G288" s="2"/>
      <c r="H288" s="7"/>
      <c r="I288" s="4"/>
      <c r="J288" s="2"/>
      <c r="K288" s="2"/>
      <c r="L288" s="12"/>
      <c r="M288" s="6"/>
    </row>
    <row r="289" spans="1:13" s="8" customFormat="1" ht="45" customHeight="1" thickBot="1" x14ac:dyDescent="0.3">
      <c r="A289" s="3"/>
      <c r="B289" s="7"/>
      <c r="C289" s="2"/>
      <c r="D289" s="10"/>
      <c r="E289" s="7"/>
      <c r="F289" s="2"/>
      <c r="G289" s="2"/>
      <c r="H289" s="7"/>
      <c r="I289" s="4"/>
      <c r="J289" s="2"/>
      <c r="K289" s="2"/>
      <c r="L289" s="12"/>
      <c r="M289" s="6"/>
    </row>
    <row r="290" spans="1:13" s="8" customFormat="1" ht="45" customHeight="1" thickBot="1" x14ac:dyDescent="0.3">
      <c r="A290" s="3"/>
      <c r="B290" s="7"/>
      <c r="C290" s="2"/>
      <c r="D290" s="10"/>
      <c r="E290" s="7"/>
      <c r="F290" s="2"/>
      <c r="G290" s="2"/>
      <c r="H290" s="7"/>
      <c r="I290" s="4"/>
      <c r="J290" s="2"/>
      <c r="K290" s="2"/>
      <c r="L290" s="12"/>
      <c r="M290" s="6"/>
    </row>
    <row r="291" spans="1:13" s="8" customFormat="1" ht="45" customHeight="1" thickBot="1" x14ac:dyDescent="0.3">
      <c r="A291" s="3"/>
      <c r="B291" s="7"/>
      <c r="C291" s="2"/>
      <c r="D291" s="10"/>
      <c r="E291" s="7"/>
      <c r="F291" s="2"/>
      <c r="G291" s="2"/>
      <c r="H291" s="7"/>
      <c r="I291" s="4"/>
      <c r="J291" s="2"/>
      <c r="K291" s="2"/>
      <c r="L291" s="12"/>
      <c r="M291" s="6"/>
    </row>
    <row r="292" spans="1:13" s="8" customFormat="1" ht="45" customHeight="1" thickBot="1" x14ac:dyDescent="0.3">
      <c r="A292" s="3"/>
      <c r="B292" s="7"/>
      <c r="C292" s="2"/>
      <c r="D292" s="10"/>
      <c r="E292" s="7"/>
      <c r="F292" s="2"/>
      <c r="G292" s="2"/>
      <c r="H292" s="7"/>
      <c r="I292" s="4"/>
      <c r="J292" s="2"/>
      <c r="K292" s="2"/>
      <c r="L292" s="12"/>
      <c r="M292" s="6"/>
    </row>
    <row r="293" spans="1:13" s="8" customFormat="1" ht="45" customHeight="1" thickBot="1" x14ac:dyDescent="0.3">
      <c r="A293" s="3"/>
      <c r="B293" s="7"/>
      <c r="C293" s="2"/>
      <c r="D293" s="10"/>
      <c r="E293" s="7"/>
      <c r="F293" s="2"/>
      <c r="G293" s="2"/>
      <c r="H293" s="7"/>
      <c r="I293" s="4"/>
      <c r="J293" s="2"/>
      <c r="K293" s="2"/>
      <c r="L293" s="12"/>
      <c r="M293" s="6"/>
    </row>
    <row r="294" spans="1:13" s="8" customFormat="1" ht="45" customHeight="1" thickBot="1" x14ac:dyDescent="0.3">
      <c r="A294" s="3"/>
      <c r="B294" s="7"/>
      <c r="C294" s="2"/>
      <c r="D294" s="10"/>
      <c r="E294" s="7"/>
      <c r="F294" s="2"/>
      <c r="G294" s="2"/>
      <c r="H294" s="7"/>
      <c r="I294" s="4"/>
      <c r="J294" s="2"/>
      <c r="K294" s="2"/>
      <c r="L294" s="12"/>
      <c r="M294" s="6"/>
    </row>
    <row r="295" spans="1:13" s="8" customFormat="1" ht="45" customHeight="1" thickBot="1" x14ac:dyDescent="0.3">
      <c r="A295" s="3"/>
      <c r="B295" s="7"/>
      <c r="C295" s="2"/>
      <c r="D295" s="10"/>
      <c r="E295" s="7"/>
      <c r="F295" s="2"/>
      <c r="G295" s="2"/>
      <c r="H295" s="7"/>
      <c r="I295" s="4"/>
      <c r="J295" s="2"/>
      <c r="K295" s="2"/>
      <c r="L295" s="12"/>
      <c r="M295" s="6"/>
    </row>
    <row r="296" spans="1:13" s="8" customFormat="1" ht="45" customHeight="1" thickBot="1" x14ac:dyDescent="0.3">
      <c r="A296" s="3"/>
      <c r="B296" s="7"/>
      <c r="C296" s="2"/>
      <c r="D296" s="10"/>
      <c r="E296" s="7"/>
      <c r="F296" s="2"/>
      <c r="G296" s="2"/>
      <c r="H296" s="7"/>
      <c r="I296" s="4"/>
      <c r="J296" s="2"/>
      <c r="K296" s="2"/>
      <c r="L296" s="12"/>
      <c r="M296" s="6"/>
    </row>
    <row r="297" spans="1:13" s="8" customFormat="1" ht="45" customHeight="1" thickBot="1" x14ac:dyDescent="0.3">
      <c r="A297" s="3"/>
      <c r="B297" s="7"/>
      <c r="C297" s="2"/>
      <c r="D297" s="10"/>
      <c r="E297" s="7"/>
      <c r="F297" s="2"/>
      <c r="G297" s="2"/>
      <c r="H297" s="7"/>
      <c r="I297" s="4"/>
      <c r="J297" s="2"/>
      <c r="K297" s="2"/>
      <c r="L297" s="12"/>
      <c r="M297" s="6"/>
    </row>
    <row r="298" spans="1:13" s="8" customFormat="1" ht="45" customHeight="1" thickBot="1" x14ac:dyDescent="0.3">
      <c r="A298" s="3"/>
      <c r="B298" s="7"/>
      <c r="C298" s="2"/>
      <c r="D298" s="10"/>
      <c r="E298" s="7"/>
      <c r="F298" s="2"/>
      <c r="G298" s="2"/>
      <c r="H298" s="7"/>
      <c r="I298" s="4"/>
      <c r="J298" s="2"/>
      <c r="K298" s="2"/>
      <c r="L298" s="12"/>
      <c r="M298" s="6"/>
    </row>
    <row r="299" spans="1:13" s="8" customFormat="1" ht="45" customHeight="1" thickBot="1" x14ac:dyDescent="0.3">
      <c r="A299" s="3"/>
      <c r="B299" s="7"/>
      <c r="C299" s="2"/>
      <c r="D299" s="10"/>
      <c r="E299" s="7"/>
      <c r="F299" s="2"/>
      <c r="G299" s="2"/>
      <c r="H299" s="7"/>
      <c r="I299" s="4"/>
      <c r="J299" s="2"/>
      <c r="K299" s="2"/>
      <c r="L299" s="12"/>
      <c r="M299" s="6"/>
    </row>
    <row r="300" spans="1:13" s="8" customFormat="1" ht="45" customHeight="1" thickBot="1" x14ac:dyDescent="0.3">
      <c r="A300" s="3"/>
      <c r="B300" s="7"/>
      <c r="C300" s="2"/>
      <c r="D300" s="10"/>
      <c r="E300" s="7"/>
      <c r="F300" s="2"/>
      <c r="G300" s="2"/>
      <c r="H300" s="7"/>
      <c r="I300" s="4"/>
      <c r="J300" s="2"/>
      <c r="K300" s="2"/>
      <c r="L300" s="12"/>
      <c r="M300" s="6"/>
    </row>
    <row r="301" spans="1:13" s="8" customFormat="1" ht="45" customHeight="1" thickBot="1" x14ac:dyDescent="0.3">
      <c r="A301" s="3"/>
      <c r="B301" s="7"/>
      <c r="C301" s="2"/>
      <c r="D301" s="10"/>
      <c r="E301" s="7"/>
      <c r="F301" s="2"/>
      <c r="G301" s="2"/>
      <c r="H301" s="7"/>
      <c r="I301" s="4"/>
      <c r="J301" s="2"/>
      <c r="K301" s="2"/>
      <c r="L301" s="12"/>
      <c r="M301" s="6"/>
    </row>
    <row r="302" spans="1:13" s="8" customFormat="1" ht="45" customHeight="1" thickBot="1" x14ac:dyDescent="0.3">
      <c r="A302" s="3"/>
      <c r="B302" s="7"/>
      <c r="C302" s="2"/>
      <c r="D302" s="10"/>
      <c r="E302" s="7"/>
      <c r="F302" s="2"/>
      <c r="G302" s="2"/>
      <c r="H302" s="7"/>
      <c r="I302" s="4"/>
      <c r="J302" s="2"/>
      <c r="K302" s="2"/>
      <c r="L302" s="12"/>
      <c r="M302" s="6"/>
    </row>
    <row r="303" spans="1:13" s="8" customFormat="1" ht="45" customHeight="1" thickBot="1" x14ac:dyDescent="0.3">
      <c r="A303" s="3"/>
      <c r="B303" s="7"/>
      <c r="C303" s="2"/>
      <c r="D303" s="10"/>
      <c r="E303" s="7"/>
      <c r="F303" s="2"/>
      <c r="G303" s="2"/>
      <c r="H303" s="7"/>
      <c r="I303" s="4"/>
      <c r="J303" s="2"/>
      <c r="K303" s="2"/>
      <c r="L303" s="12"/>
      <c r="M303" s="6"/>
    </row>
    <row r="304" spans="1:13" s="8" customFormat="1" ht="45" customHeight="1" thickBot="1" x14ac:dyDescent="0.3">
      <c r="A304" s="3"/>
      <c r="B304" s="7"/>
      <c r="C304" s="2"/>
      <c r="D304" s="10"/>
      <c r="E304" s="7"/>
      <c r="F304" s="2"/>
      <c r="G304" s="2"/>
      <c r="H304" s="7"/>
      <c r="I304" s="4"/>
      <c r="J304" s="2"/>
      <c r="K304" s="2"/>
      <c r="L304" s="12"/>
      <c r="M304" s="6"/>
    </row>
    <row r="305" spans="1:13" s="8" customFormat="1" ht="45" customHeight="1" thickBot="1" x14ac:dyDescent="0.3">
      <c r="A305" s="3"/>
      <c r="B305" s="7"/>
      <c r="C305" s="2"/>
      <c r="D305" s="10"/>
      <c r="E305" s="7"/>
      <c r="F305" s="2"/>
      <c r="G305" s="2"/>
      <c r="H305" s="7"/>
      <c r="I305" s="4"/>
      <c r="J305" s="2"/>
      <c r="K305" s="2"/>
      <c r="L305" s="12"/>
      <c r="M305" s="6"/>
    </row>
    <row r="306" spans="1:13" s="8" customFormat="1" ht="45" customHeight="1" thickBot="1" x14ac:dyDescent="0.3">
      <c r="A306" s="3"/>
      <c r="B306" s="7"/>
      <c r="C306" s="2"/>
      <c r="D306" s="10"/>
      <c r="E306" s="7"/>
      <c r="F306" s="2"/>
      <c r="G306" s="2"/>
      <c r="H306" s="7"/>
      <c r="I306" s="4"/>
      <c r="J306" s="2"/>
      <c r="K306" s="2"/>
      <c r="L306" s="12"/>
      <c r="M306" s="6"/>
    </row>
    <row r="307" spans="1:13" s="8" customFormat="1" ht="45" customHeight="1" thickBot="1" x14ac:dyDescent="0.3">
      <c r="A307" s="3"/>
      <c r="B307" s="7"/>
      <c r="C307" s="2"/>
      <c r="D307" s="10"/>
      <c r="E307" s="7"/>
      <c r="F307" s="2"/>
      <c r="G307" s="2"/>
      <c r="H307" s="7"/>
      <c r="I307" s="4"/>
      <c r="J307" s="2"/>
      <c r="K307" s="2"/>
      <c r="L307" s="12"/>
      <c r="M307" s="6"/>
    </row>
    <row r="308" spans="1:13" s="8" customFormat="1" ht="45" customHeight="1" thickBot="1" x14ac:dyDescent="0.3">
      <c r="A308" s="3"/>
      <c r="B308" s="7"/>
      <c r="C308" s="2"/>
      <c r="D308" s="10"/>
      <c r="E308" s="7"/>
      <c r="F308" s="2"/>
      <c r="G308" s="2"/>
      <c r="H308" s="7"/>
      <c r="I308" s="4"/>
      <c r="J308" s="2"/>
      <c r="K308" s="2"/>
      <c r="L308" s="12"/>
      <c r="M308" s="6"/>
    </row>
    <row r="309" spans="1:13" ht="45" customHeight="1" thickBot="1" x14ac:dyDescent="0.3">
      <c r="A309" s="3"/>
      <c r="B309" s="7"/>
      <c r="C309" s="2"/>
      <c r="D309" s="10"/>
      <c r="E309" s="7"/>
      <c r="F309" s="2"/>
      <c r="G309" s="2"/>
      <c r="H309" s="7"/>
      <c r="I309" s="4"/>
      <c r="J309" s="2"/>
      <c r="K309" s="4"/>
      <c r="L309" s="11"/>
      <c r="M309" s="6"/>
    </row>
    <row r="310" spans="1:13" ht="45" customHeight="1" thickBot="1" x14ac:dyDescent="0.3">
      <c r="A310" s="3"/>
      <c r="B310" s="7"/>
      <c r="C310" s="2"/>
      <c r="D310" s="10"/>
      <c r="E310" s="7"/>
      <c r="F310" s="2"/>
      <c r="G310" s="2"/>
      <c r="H310" s="7"/>
      <c r="I310" s="4"/>
      <c r="J310" s="2"/>
      <c r="K310" s="4"/>
      <c r="L310" s="11"/>
      <c r="M310" s="6"/>
    </row>
    <row r="311" spans="1:13" ht="45" customHeight="1" thickBot="1" x14ac:dyDescent="0.3">
      <c r="A311" s="3"/>
      <c r="B311" s="7"/>
      <c r="C311" s="2"/>
      <c r="D311" s="10"/>
      <c r="E311" s="7"/>
      <c r="F311" s="2"/>
      <c r="G311" s="2"/>
      <c r="H311" s="7"/>
      <c r="I311" s="4"/>
      <c r="J311" s="2"/>
      <c r="K311" s="4"/>
      <c r="L311" s="11"/>
      <c r="M311" s="6"/>
    </row>
    <row r="312" spans="1:13" ht="45" customHeight="1" thickBot="1" x14ac:dyDescent="0.3">
      <c r="A312" s="3"/>
      <c r="B312" s="7"/>
      <c r="C312" s="2"/>
      <c r="D312" s="10"/>
      <c r="E312" s="7"/>
      <c r="F312" s="2"/>
      <c r="G312" s="2"/>
      <c r="H312" s="7"/>
      <c r="I312" s="4"/>
      <c r="J312" s="2"/>
      <c r="K312" s="4"/>
      <c r="L312" s="11"/>
      <c r="M312" s="6"/>
    </row>
    <row r="313" spans="1:13" ht="45" customHeight="1" thickBot="1" x14ac:dyDescent="0.3">
      <c r="A313" s="3"/>
      <c r="B313" s="7"/>
      <c r="C313" s="2"/>
      <c r="D313" s="10"/>
      <c r="E313" s="7"/>
      <c r="F313" s="2"/>
      <c r="G313" s="2"/>
      <c r="H313" s="7"/>
      <c r="I313" s="4"/>
      <c r="J313" s="2"/>
      <c r="K313" s="4"/>
      <c r="L313" s="11"/>
      <c r="M313" s="6"/>
    </row>
    <row r="314" spans="1:13" ht="45" customHeight="1" thickBot="1" x14ac:dyDescent="0.3">
      <c r="A314" s="3"/>
      <c r="B314" s="7"/>
      <c r="C314" s="2"/>
      <c r="D314" s="10"/>
      <c r="E314" s="7"/>
      <c r="F314" s="2"/>
      <c r="G314" s="2"/>
      <c r="H314" s="7"/>
      <c r="I314" s="4"/>
      <c r="J314" s="2"/>
      <c r="K314" s="4"/>
      <c r="L314" s="11"/>
      <c r="M314" s="6"/>
    </row>
    <row r="315" spans="1:13" ht="45" customHeight="1" thickBot="1" x14ac:dyDescent="0.3">
      <c r="A315" s="3"/>
      <c r="B315" s="7"/>
      <c r="C315" s="2"/>
      <c r="D315" s="10"/>
      <c r="E315" s="7"/>
      <c r="F315" s="2"/>
      <c r="G315" s="2"/>
      <c r="H315" s="7"/>
      <c r="I315" s="4"/>
      <c r="J315" s="2"/>
      <c r="K315" s="4"/>
      <c r="L315" s="11"/>
      <c r="M315" s="6"/>
    </row>
    <row r="316" spans="1:13" ht="45" customHeight="1" thickBot="1" x14ac:dyDescent="0.3">
      <c r="A316" s="3"/>
      <c r="B316" s="7"/>
      <c r="C316" s="2"/>
      <c r="D316" s="10"/>
      <c r="E316" s="7"/>
      <c r="F316" s="2"/>
      <c r="G316" s="2"/>
      <c r="H316" s="7"/>
      <c r="I316" s="4"/>
      <c r="J316" s="2"/>
      <c r="K316" s="4"/>
      <c r="L316" s="11"/>
      <c r="M316" s="6"/>
    </row>
    <row r="317" spans="1:13" ht="45" customHeight="1" thickBot="1" x14ac:dyDescent="0.3">
      <c r="A317" s="3"/>
      <c r="B317" s="7"/>
      <c r="C317" s="2"/>
      <c r="D317" s="10"/>
      <c r="E317" s="7"/>
      <c r="F317" s="2"/>
      <c r="G317" s="2"/>
      <c r="H317" s="7"/>
      <c r="I317" s="4"/>
      <c r="J317" s="2"/>
      <c r="K317" s="4"/>
      <c r="L317" s="11"/>
      <c r="M317" s="6"/>
    </row>
    <row r="318" spans="1:13" ht="45" customHeight="1" thickBot="1" x14ac:dyDescent="0.3">
      <c r="A318" s="3"/>
      <c r="B318" s="7"/>
      <c r="C318" s="2"/>
      <c r="D318" s="10"/>
      <c r="E318" s="7"/>
      <c r="F318" s="2"/>
      <c r="G318" s="2"/>
      <c r="H318" s="7"/>
      <c r="I318" s="4"/>
      <c r="J318" s="2"/>
      <c r="K318" s="4"/>
      <c r="L318" s="11"/>
      <c r="M318" s="6"/>
    </row>
    <row r="319" spans="1:13" ht="45" customHeight="1" thickBot="1" x14ac:dyDescent="0.3">
      <c r="A319" s="3"/>
      <c r="B319" s="7"/>
      <c r="C319" s="2"/>
      <c r="D319" s="10"/>
      <c r="E319" s="7"/>
      <c r="F319" s="2"/>
      <c r="G319" s="2"/>
      <c r="H319" s="7"/>
      <c r="I319" s="4"/>
      <c r="J319" s="2"/>
      <c r="K319" s="4"/>
      <c r="L319" s="11"/>
      <c r="M319" s="6"/>
    </row>
    <row r="320" spans="1:13" ht="45" customHeight="1" thickBot="1" x14ac:dyDescent="0.3">
      <c r="A320" s="3"/>
      <c r="B320" s="7"/>
      <c r="C320" s="2"/>
      <c r="D320" s="10"/>
      <c r="E320" s="7"/>
      <c r="F320" s="2"/>
      <c r="G320" s="2"/>
      <c r="H320" s="7"/>
      <c r="I320" s="4"/>
      <c r="J320" s="2"/>
      <c r="K320" s="4"/>
      <c r="L320" s="11"/>
      <c r="M320" s="6"/>
    </row>
    <row r="321" spans="1:13" ht="45" customHeight="1" thickBot="1" x14ac:dyDescent="0.3">
      <c r="A321" s="3"/>
      <c r="B321" s="7"/>
      <c r="C321" s="2"/>
      <c r="D321" s="2"/>
      <c r="E321" s="7"/>
      <c r="F321" s="2"/>
      <c r="G321" s="2"/>
      <c r="H321" s="7"/>
      <c r="I321" s="4"/>
      <c r="J321" s="2"/>
      <c r="K321" s="4"/>
      <c r="L321" s="11"/>
      <c r="M321" s="6"/>
    </row>
    <row r="322" spans="1:13" ht="45" customHeight="1" thickBot="1" x14ac:dyDescent="0.3">
      <c r="A322" s="3"/>
      <c r="B322" s="7"/>
      <c r="C322" s="2"/>
      <c r="D322" s="2"/>
      <c r="E322" s="7"/>
      <c r="F322" s="2"/>
      <c r="G322" s="2"/>
      <c r="H322" s="7"/>
      <c r="I322" s="4"/>
      <c r="J322" s="2"/>
      <c r="K322" s="4"/>
      <c r="L322" s="11"/>
      <c r="M322" s="6"/>
    </row>
    <row r="323" spans="1:13" ht="45" customHeight="1" thickBot="1" x14ac:dyDescent="0.3">
      <c r="A323" s="3"/>
      <c r="B323" s="7"/>
      <c r="C323" s="7"/>
      <c r="D323" s="14"/>
      <c r="E323" s="7"/>
      <c r="F323" s="2"/>
      <c r="G323" s="2"/>
      <c r="H323" s="7"/>
      <c r="I323" s="4"/>
      <c r="J323" s="4"/>
      <c r="K323" s="4"/>
      <c r="L323" s="11"/>
      <c r="M323" s="5"/>
    </row>
    <row r="324" spans="1:13" ht="45" customHeight="1" thickBot="1" x14ac:dyDescent="0.3">
      <c r="A324" s="3"/>
      <c r="B324" s="7"/>
      <c r="C324" s="7"/>
      <c r="D324" s="14"/>
      <c r="E324" s="7"/>
      <c r="F324" s="2"/>
      <c r="G324" s="2"/>
      <c r="H324" s="7"/>
      <c r="I324" s="4"/>
      <c r="J324" s="4"/>
      <c r="K324" s="4"/>
      <c r="L324" s="11"/>
      <c r="M324" s="5"/>
    </row>
    <row r="325" spans="1:13" ht="45" customHeight="1" thickBot="1" x14ac:dyDescent="0.3">
      <c r="A325" s="3"/>
      <c r="B325" s="7"/>
      <c r="C325" s="2"/>
      <c r="D325" s="14"/>
      <c r="E325" s="7"/>
      <c r="F325" s="2"/>
      <c r="G325" s="2"/>
      <c r="H325" s="7"/>
      <c r="I325" s="4"/>
      <c r="J325" s="4"/>
      <c r="K325" s="4"/>
      <c r="L325" s="11"/>
      <c r="M325" s="5"/>
    </row>
    <row r="326" spans="1:13" s="8" customFormat="1" ht="45" customHeight="1" thickBot="1" x14ac:dyDescent="0.3">
      <c r="A326" s="3"/>
      <c r="B326" s="7"/>
      <c r="C326" s="4"/>
      <c r="D326" s="2"/>
      <c r="E326" s="7"/>
      <c r="F326" s="2"/>
      <c r="G326" s="2"/>
      <c r="H326" s="7"/>
      <c r="I326" s="4"/>
      <c r="J326" s="2"/>
      <c r="K326" s="2"/>
      <c r="L326" s="12"/>
      <c r="M326" s="6"/>
    </row>
    <row r="327" spans="1:13" s="8" customFormat="1" ht="45" customHeight="1" thickBot="1" x14ac:dyDescent="0.3">
      <c r="A327" s="3"/>
      <c r="B327" s="7"/>
      <c r="C327" s="4"/>
      <c r="D327" s="2"/>
      <c r="E327" s="7"/>
      <c r="F327" s="2"/>
      <c r="G327" s="2"/>
      <c r="H327" s="7"/>
      <c r="I327" s="4"/>
      <c r="J327" s="2"/>
      <c r="K327" s="2"/>
      <c r="L327" s="12"/>
      <c r="M327" s="6"/>
    </row>
    <row r="328" spans="1:13" s="8" customFormat="1" ht="45" customHeight="1" thickBot="1" x14ac:dyDescent="0.3">
      <c r="A328" s="3"/>
      <c r="B328" s="7"/>
      <c r="C328" s="4"/>
      <c r="D328" s="2"/>
      <c r="E328" s="7"/>
      <c r="F328" s="2"/>
      <c r="G328" s="2"/>
      <c r="H328" s="7"/>
      <c r="I328" s="4"/>
      <c r="J328" s="2"/>
      <c r="K328" s="2"/>
      <c r="L328" s="12"/>
      <c r="M328" s="6"/>
    </row>
    <row r="329" spans="1:13" s="8" customFormat="1" ht="45" customHeight="1" thickBot="1" x14ac:dyDescent="0.3">
      <c r="A329" s="3"/>
      <c r="B329" s="7"/>
      <c r="C329" s="4"/>
      <c r="D329" s="2"/>
      <c r="E329" s="7"/>
      <c r="F329" s="2"/>
      <c r="G329" s="2"/>
      <c r="H329" s="7"/>
      <c r="I329" s="4"/>
      <c r="J329" s="2"/>
      <c r="K329" s="2"/>
      <c r="L329" s="12"/>
      <c r="M329" s="6"/>
    </row>
    <row r="330" spans="1:13" ht="45" customHeight="1" thickBot="1" x14ac:dyDescent="0.3">
      <c r="A330" s="3"/>
      <c r="B330" s="7"/>
      <c r="C330" s="4"/>
      <c r="D330" s="14"/>
      <c r="E330" s="7"/>
      <c r="F330" s="2"/>
      <c r="G330" s="2"/>
      <c r="H330" s="7"/>
      <c r="I330" s="4"/>
      <c r="J330" s="4"/>
      <c r="K330" s="4"/>
      <c r="L330" s="11"/>
      <c r="M330" s="5"/>
    </row>
    <row r="331" spans="1:13" ht="45" customHeight="1" thickBot="1" x14ac:dyDescent="0.3">
      <c r="A331" s="3"/>
      <c r="B331" s="7"/>
      <c r="C331" s="4"/>
      <c r="D331" s="14"/>
      <c r="E331" s="7"/>
      <c r="F331" s="2"/>
      <c r="G331" s="2"/>
      <c r="H331" s="7"/>
      <c r="I331" s="4"/>
      <c r="J331" s="4"/>
      <c r="K331" s="4"/>
      <c r="L331" s="11"/>
      <c r="M331" s="5"/>
    </row>
    <row r="332" spans="1:13" ht="45" customHeight="1" thickBot="1" x14ac:dyDescent="0.3">
      <c r="A332" s="3"/>
      <c r="B332" s="7"/>
      <c r="C332" s="4"/>
      <c r="D332" s="14"/>
      <c r="E332" s="7"/>
      <c r="F332" s="2"/>
      <c r="G332" s="2"/>
      <c r="H332" s="7"/>
      <c r="I332" s="4"/>
      <c r="J332" s="4"/>
      <c r="K332" s="4"/>
      <c r="L332" s="11"/>
      <c r="M332" s="5"/>
    </row>
    <row r="333" spans="1:13" ht="45" customHeight="1" thickBot="1" x14ac:dyDescent="0.3">
      <c r="A333" s="3"/>
      <c r="B333" s="7"/>
      <c r="C333" s="4"/>
      <c r="D333" s="14"/>
      <c r="E333" s="7"/>
      <c r="F333" s="2"/>
      <c r="G333" s="2"/>
      <c r="H333" s="7"/>
      <c r="I333" s="4"/>
      <c r="J333" s="4"/>
      <c r="K333" s="4"/>
      <c r="L333" s="11"/>
      <c r="M333" s="5"/>
    </row>
    <row r="334" spans="1:13" s="8" customFormat="1" ht="45" customHeight="1" thickBot="1" x14ac:dyDescent="0.3">
      <c r="A334" s="3"/>
      <c r="B334" s="7"/>
      <c r="C334" s="4"/>
      <c r="D334" s="10"/>
      <c r="E334" s="7"/>
      <c r="F334" s="2"/>
      <c r="G334" s="2"/>
      <c r="H334" s="7"/>
      <c r="I334" s="4"/>
      <c r="J334" s="2"/>
      <c r="K334" s="2"/>
      <c r="L334" s="12"/>
      <c r="M334" s="6"/>
    </row>
    <row r="335" spans="1:13" s="8" customFormat="1" ht="45" customHeight="1" thickBot="1" x14ac:dyDescent="0.3">
      <c r="A335" s="3"/>
      <c r="B335" s="7"/>
      <c r="C335" s="4"/>
      <c r="D335" s="10"/>
      <c r="E335" s="7"/>
      <c r="F335" s="2"/>
      <c r="G335" s="2"/>
      <c r="H335" s="7"/>
      <c r="I335" s="4"/>
      <c r="J335" s="2"/>
      <c r="K335" s="2"/>
      <c r="L335" s="12"/>
      <c r="M335" s="6"/>
    </row>
    <row r="336" spans="1:13" s="8" customFormat="1" ht="45" customHeight="1" thickBot="1" x14ac:dyDescent="0.3">
      <c r="A336" s="3"/>
      <c r="B336" s="7"/>
      <c r="C336" s="4"/>
      <c r="D336" s="10"/>
      <c r="E336" s="7"/>
      <c r="F336" s="2"/>
      <c r="G336" s="2"/>
      <c r="H336" s="7"/>
      <c r="I336" s="4"/>
      <c r="J336" s="2"/>
      <c r="K336" s="2"/>
      <c r="L336" s="12"/>
      <c r="M336" s="6"/>
    </row>
    <row r="337" spans="1:13" s="8" customFormat="1" ht="45" customHeight="1" thickBot="1" x14ac:dyDescent="0.3">
      <c r="A337" s="3"/>
      <c r="B337" s="7"/>
      <c r="C337" s="4"/>
      <c r="D337" s="10"/>
      <c r="E337" s="7"/>
      <c r="F337" s="2"/>
      <c r="G337" s="2"/>
      <c r="H337" s="7"/>
      <c r="I337" s="4"/>
      <c r="J337" s="2"/>
      <c r="K337" s="2"/>
      <c r="L337" s="12"/>
      <c r="M337" s="6"/>
    </row>
    <row r="338" spans="1:13" s="8" customFormat="1" ht="45" customHeight="1" thickBot="1" x14ac:dyDescent="0.3">
      <c r="A338" s="3"/>
      <c r="B338" s="7"/>
      <c r="C338" s="4"/>
      <c r="D338" s="10"/>
      <c r="E338" s="7"/>
      <c r="F338" s="2"/>
      <c r="G338" s="2"/>
      <c r="H338" s="7"/>
      <c r="I338" s="4"/>
      <c r="J338" s="2"/>
      <c r="K338" s="2"/>
      <c r="L338" s="12"/>
      <c r="M338" s="6"/>
    </row>
    <row r="339" spans="1:13" s="8" customFormat="1" ht="45" customHeight="1" thickBot="1" x14ac:dyDescent="0.3">
      <c r="A339" s="3"/>
      <c r="B339" s="7"/>
      <c r="C339" s="4"/>
      <c r="D339" s="10"/>
      <c r="E339" s="7"/>
      <c r="F339" s="2"/>
      <c r="G339" s="2"/>
      <c r="H339" s="7"/>
      <c r="I339" s="4"/>
      <c r="J339" s="2"/>
      <c r="K339" s="2"/>
      <c r="L339" s="12"/>
      <c r="M339" s="6"/>
    </row>
    <row r="340" spans="1:13" ht="45" customHeight="1" thickBot="1" x14ac:dyDescent="0.3">
      <c r="A340" s="3"/>
      <c r="B340" s="7"/>
      <c r="C340" s="4"/>
      <c r="D340" s="10"/>
      <c r="E340" s="7"/>
      <c r="F340" s="2"/>
      <c r="G340" s="2"/>
      <c r="H340" s="7"/>
      <c r="I340" s="4"/>
      <c r="J340" s="2"/>
      <c r="K340" s="4"/>
      <c r="L340" s="11"/>
      <c r="M340" s="6"/>
    </row>
    <row r="341" spans="1:13" ht="45" customHeight="1" thickBot="1" x14ac:dyDescent="0.3">
      <c r="A341" s="3"/>
      <c r="B341" s="7"/>
      <c r="C341" s="4"/>
      <c r="D341" s="10"/>
      <c r="E341" s="7"/>
      <c r="F341" s="2"/>
      <c r="G341" s="2"/>
      <c r="H341" s="7"/>
      <c r="I341" s="4"/>
      <c r="J341" s="2"/>
      <c r="K341" s="4"/>
      <c r="L341" s="11"/>
      <c r="M341" s="6"/>
    </row>
    <row r="342" spans="1:13" ht="45" customHeight="1" thickBot="1" x14ac:dyDescent="0.3">
      <c r="A342" s="3"/>
      <c r="B342" s="7"/>
      <c r="C342" s="4"/>
      <c r="D342" s="10"/>
      <c r="E342" s="7"/>
      <c r="F342" s="2"/>
      <c r="G342" s="2"/>
      <c r="H342" s="7"/>
      <c r="I342" s="4"/>
      <c r="J342" s="2"/>
      <c r="K342" s="4"/>
      <c r="L342" s="11"/>
      <c r="M342" s="6"/>
    </row>
    <row r="343" spans="1:13" ht="45" customHeight="1" thickBot="1" x14ac:dyDescent="0.3">
      <c r="A343" s="3"/>
      <c r="B343" s="7"/>
      <c r="C343" s="4"/>
      <c r="D343" s="10"/>
      <c r="E343" s="7"/>
      <c r="F343" s="2"/>
      <c r="G343" s="2"/>
      <c r="H343" s="7"/>
      <c r="I343" s="4"/>
      <c r="J343" s="2"/>
      <c r="K343" s="4"/>
      <c r="L343" s="11"/>
      <c r="M343" s="6"/>
    </row>
    <row r="344" spans="1:13" s="8" customFormat="1" ht="45" customHeight="1" thickBot="1" x14ac:dyDescent="0.3">
      <c r="A344" s="3"/>
      <c r="B344" s="7"/>
      <c r="C344" s="4"/>
      <c r="D344" s="16"/>
      <c r="E344" s="7"/>
      <c r="F344" s="2"/>
      <c r="G344" s="2"/>
      <c r="H344" s="2"/>
      <c r="I344" s="4"/>
      <c r="J344" s="2"/>
      <c r="K344" s="2"/>
      <c r="L344" s="12"/>
      <c r="M344" s="6"/>
    </row>
    <row r="345" spans="1:13" ht="45" customHeight="1" thickBot="1" x14ac:dyDescent="0.3">
      <c r="A345" s="3"/>
      <c r="B345" s="7"/>
      <c r="C345" s="7"/>
      <c r="D345" s="14"/>
      <c r="E345" s="7"/>
      <c r="F345" s="2"/>
      <c r="G345" s="2"/>
      <c r="H345" s="7"/>
      <c r="I345" s="4"/>
      <c r="J345" s="4"/>
      <c r="K345" s="4"/>
      <c r="L345" s="11"/>
      <c r="M345" s="5"/>
    </row>
    <row r="346" spans="1:13" ht="45" customHeight="1" thickBot="1" x14ac:dyDescent="0.3">
      <c r="A346" s="3"/>
      <c r="B346" s="7"/>
      <c r="C346" s="2"/>
      <c r="D346" s="2"/>
      <c r="E346" s="7"/>
      <c r="F346" s="2"/>
      <c r="G346" s="2"/>
      <c r="H346" s="7"/>
      <c r="I346" s="4"/>
      <c r="J346" s="4"/>
      <c r="K346" s="4"/>
      <c r="L346" s="11"/>
      <c r="M346" s="44"/>
    </row>
    <row r="347" spans="1:13" ht="45" customHeight="1" thickBot="1" x14ac:dyDescent="0.3">
      <c r="A347" s="3"/>
      <c r="B347" s="7"/>
      <c r="C347" s="2"/>
      <c r="D347" s="2"/>
      <c r="E347" s="7"/>
      <c r="F347" s="2"/>
      <c r="G347" s="2"/>
      <c r="H347" s="7"/>
      <c r="I347" s="4"/>
      <c r="J347" s="4"/>
      <c r="K347" s="4"/>
      <c r="L347" s="11"/>
      <c r="M347" s="44"/>
    </row>
    <row r="348" spans="1:13" ht="45" customHeight="1" thickBot="1" x14ac:dyDescent="0.3">
      <c r="A348" s="3"/>
      <c r="B348" s="7"/>
      <c r="C348" s="2"/>
      <c r="D348" s="2"/>
      <c r="E348" s="7"/>
      <c r="F348" s="2"/>
      <c r="G348" s="2"/>
      <c r="H348" s="7"/>
      <c r="I348" s="4"/>
      <c r="J348" s="4"/>
      <c r="K348" s="4"/>
      <c r="L348" s="11"/>
      <c r="M348" s="44"/>
    </row>
    <row r="349" spans="1:13" ht="45" customHeight="1" thickBot="1" x14ac:dyDescent="0.3">
      <c r="A349" s="3"/>
      <c r="B349" s="7"/>
      <c r="C349" s="2"/>
      <c r="D349" s="2"/>
      <c r="E349" s="7"/>
      <c r="F349" s="2"/>
      <c r="G349" s="2"/>
      <c r="H349" s="7"/>
      <c r="I349" s="4"/>
      <c r="J349" s="4"/>
      <c r="K349" s="4"/>
      <c r="L349" s="11"/>
      <c r="M349" s="44"/>
    </row>
    <row r="350" spans="1:13" ht="45" customHeight="1" thickBot="1" x14ac:dyDescent="0.3">
      <c r="A350" s="3"/>
      <c r="B350" s="7"/>
      <c r="C350" s="2"/>
      <c r="D350" s="2"/>
      <c r="E350" s="7"/>
      <c r="F350" s="2"/>
      <c r="G350" s="2"/>
      <c r="H350" s="7"/>
      <c r="I350" s="4"/>
      <c r="J350" s="4"/>
      <c r="K350" s="4"/>
      <c r="L350" s="11"/>
      <c r="M350" s="44"/>
    </row>
    <row r="351" spans="1:13" ht="45" customHeight="1" thickBot="1" x14ac:dyDescent="0.3">
      <c r="A351" s="3"/>
      <c r="B351" s="7"/>
      <c r="C351" s="2"/>
      <c r="D351" s="2"/>
      <c r="E351" s="7"/>
      <c r="F351" s="2"/>
      <c r="G351" s="2"/>
      <c r="H351" s="7"/>
      <c r="I351" s="4"/>
      <c r="J351" s="4"/>
      <c r="K351" s="4"/>
      <c r="L351" s="11"/>
      <c r="M351" s="44"/>
    </row>
    <row r="352" spans="1:13" ht="45" customHeight="1" thickBot="1" x14ac:dyDescent="0.3">
      <c r="A352" s="3"/>
      <c r="B352" s="7"/>
      <c r="C352" s="2"/>
      <c r="D352" s="2"/>
      <c r="E352" s="7"/>
      <c r="F352" s="2"/>
      <c r="G352" s="2"/>
      <c r="H352" s="7"/>
      <c r="I352" s="4"/>
      <c r="J352" s="4"/>
      <c r="K352" s="4"/>
      <c r="L352" s="11"/>
      <c r="M352" s="44"/>
    </row>
    <row r="353" spans="1:13" ht="45" customHeight="1" thickBot="1" x14ac:dyDescent="0.3">
      <c r="A353" s="3"/>
      <c r="B353" s="7"/>
      <c r="C353" s="2"/>
      <c r="D353" s="2"/>
      <c r="E353" s="7"/>
      <c r="F353" s="2"/>
      <c r="G353" s="2"/>
      <c r="H353" s="7"/>
      <c r="I353" s="4"/>
      <c r="J353" s="4"/>
      <c r="K353" s="4"/>
      <c r="L353" s="11"/>
      <c r="M353" s="44"/>
    </row>
    <row r="354" spans="1:13" ht="45" customHeight="1" thickBot="1" x14ac:dyDescent="0.3">
      <c r="A354" s="3"/>
      <c r="B354" s="7"/>
      <c r="C354" s="2"/>
      <c r="D354" s="2"/>
      <c r="E354" s="7"/>
      <c r="F354" s="2"/>
      <c r="G354" s="2"/>
      <c r="H354" s="7"/>
      <c r="I354" s="4"/>
      <c r="J354" s="4"/>
      <c r="K354" s="4"/>
      <c r="L354" s="11"/>
      <c r="M354" s="44"/>
    </row>
    <row r="355" spans="1:13" ht="45" customHeight="1" thickBot="1" x14ac:dyDescent="0.3">
      <c r="A355" s="3"/>
      <c r="B355" s="7"/>
      <c r="C355" s="2"/>
      <c r="D355" s="2"/>
      <c r="E355" s="7"/>
      <c r="F355" s="2"/>
      <c r="G355" s="2"/>
      <c r="H355" s="7"/>
      <c r="I355" s="4"/>
      <c r="J355" s="4"/>
      <c r="K355" s="4"/>
      <c r="L355" s="11"/>
      <c r="M355" s="44"/>
    </row>
    <row r="356" spans="1:13" ht="45" customHeight="1" thickBot="1" x14ac:dyDescent="0.3">
      <c r="A356" s="3"/>
      <c r="B356" s="7"/>
      <c r="C356" s="2"/>
      <c r="D356" s="2"/>
      <c r="E356" s="7"/>
      <c r="F356" s="2"/>
      <c r="G356" s="2"/>
      <c r="H356" s="7"/>
      <c r="I356" s="4"/>
      <c r="J356" s="4"/>
      <c r="K356" s="4"/>
      <c r="L356" s="11"/>
      <c r="M356" s="44"/>
    </row>
    <row r="357" spans="1:13" ht="45" customHeight="1" thickBot="1" x14ac:dyDescent="0.3">
      <c r="A357" s="3"/>
      <c r="B357" s="7"/>
      <c r="C357" s="2"/>
      <c r="D357" s="2"/>
      <c r="E357" s="7"/>
      <c r="F357" s="2"/>
      <c r="G357" s="2"/>
      <c r="H357" s="7"/>
      <c r="I357" s="4"/>
      <c r="J357" s="4"/>
      <c r="K357" s="4"/>
      <c r="L357" s="11"/>
      <c r="M357" s="44"/>
    </row>
    <row r="358" spans="1:13" ht="45" customHeight="1" thickBot="1" x14ac:dyDescent="0.3">
      <c r="A358" s="3"/>
      <c r="B358" s="7"/>
      <c r="C358" s="2"/>
      <c r="D358" s="2"/>
      <c r="E358" s="7"/>
      <c r="F358" s="2"/>
      <c r="G358" s="2"/>
      <c r="H358" s="7"/>
      <c r="I358" s="4"/>
      <c r="J358" s="4"/>
      <c r="K358" s="4"/>
      <c r="L358" s="11"/>
      <c r="M358" s="44"/>
    </row>
    <row r="359" spans="1:13" ht="45" customHeight="1" thickBot="1" x14ac:dyDescent="0.3">
      <c r="A359" s="3"/>
      <c r="B359" s="7"/>
      <c r="C359" s="2"/>
      <c r="D359" s="2"/>
      <c r="E359" s="7"/>
      <c r="F359" s="2"/>
      <c r="G359" s="2"/>
      <c r="H359" s="7"/>
      <c r="I359" s="4"/>
      <c r="J359" s="4"/>
      <c r="K359" s="4"/>
      <c r="L359" s="11"/>
      <c r="M359" s="44"/>
    </row>
    <row r="360" spans="1:13" ht="45" customHeight="1" thickBot="1" x14ac:dyDescent="0.3">
      <c r="A360" s="3"/>
      <c r="B360" s="7"/>
      <c r="C360" s="2"/>
      <c r="D360" s="2"/>
      <c r="E360" s="7"/>
      <c r="F360" s="2"/>
      <c r="G360" s="2"/>
      <c r="H360" s="7"/>
      <c r="I360" s="4"/>
      <c r="J360" s="4"/>
      <c r="K360" s="4"/>
      <c r="L360" s="11"/>
      <c r="M360" s="44"/>
    </row>
    <row r="361" spans="1:13" ht="45" customHeight="1" thickBot="1" x14ac:dyDescent="0.3">
      <c r="A361" s="3"/>
      <c r="B361" s="7"/>
      <c r="C361" s="2"/>
      <c r="D361" s="2"/>
      <c r="E361" s="7"/>
      <c r="F361" s="2"/>
      <c r="G361" s="2"/>
      <c r="H361" s="7"/>
      <c r="I361" s="4"/>
      <c r="J361" s="4"/>
      <c r="K361" s="4"/>
      <c r="L361" s="11"/>
      <c r="M361" s="44"/>
    </row>
    <row r="362" spans="1:13" ht="45" customHeight="1" thickBot="1" x14ac:dyDescent="0.3">
      <c r="A362" s="3"/>
      <c r="B362" s="7"/>
      <c r="C362" s="2"/>
      <c r="D362" s="2"/>
      <c r="E362" s="7"/>
      <c r="F362" s="2"/>
      <c r="G362" s="2"/>
      <c r="H362" s="7"/>
      <c r="I362" s="4"/>
      <c r="J362" s="4"/>
      <c r="K362" s="4"/>
      <c r="L362" s="11"/>
      <c r="M362" s="44"/>
    </row>
    <row r="363" spans="1:13" ht="45" customHeight="1" thickBot="1" x14ac:dyDescent="0.3">
      <c r="A363" s="3"/>
      <c r="B363" s="7"/>
      <c r="C363" s="2"/>
      <c r="D363" s="2"/>
      <c r="E363" s="7"/>
      <c r="F363" s="2"/>
      <c r="G363" s="2"/>
      <c r="H363" s="7"/>
      <c r="I363" s="4"/>
      <c r="J363" s="4"/>
      <c r="K363" s="4"/>
      <c r="L363" s="11"/>
      <c r="M363" s="44"/>
    </row>
    <row r="364" spans="1:13" ht="45" customHeight="1" thickBot="1" x14ac:dyDescent="0.3">
      <c r="A364" s="3"/>
      <c r="B364" s="7"/>
      <c r="C364" s="2"/>
      <c r="D364" s="2"/>
      <c r="E364" s="7"/>
      <c r="F364" s="2"/>
      <c r="G364" s="2"/>
      <c r="H364" s="7"/>
      <c r="I364" s="4"/>
      <c r="J364" s="4"/>
      <c r="K364" s="4"/>
      <c r="L364" s="11"/>
      <c r="M364" s="44"/>
    </row>
    <row r="365" spans="1:13" ht="45" customHeight="1" thickBot="1" x14ac:dyDescent="0.3">
      <c r="A365" s="3"/>
      <c r="B365" s="7"/>
      <c r="C365" s="2"/>
      <c r="D365" s="2"/>
      <c r="E365" s="7"/>
      <c r="F365" s="2"/>
      <c r="G365" s="2"/>
      <c r="H365" s="7"/>
      <c r="I365" s="4"/>
      <c r="J365" s="4"/>
      <c r="K365" s="4"/>
      <c r="L365" s="11"/>
      <c r="M365" s="44"/>
    </row>
    <row r="366" spans="1:13" ht="45" customHeight="1" thickBot="1" x14ac:dyDescent="0.3">
      <c r="A366" s="3"/>
      <c r="B366" s="7"/>
      <c r="C366" s="2"/>
      <c r="D366" s="2"/>
      <c r="E366" s="7"/>
      <c r="F366" s="2"/>
      <c r="G366" s="2"/>
      <c r="H366" s="7"/>
      <c r="I366" s="4"/>
      <c r="J366" s="4"/>
      <c r="K366" s="4"/>
      <c r="L366" s="11"/>
      <c r="M366" s="44"/>
    </row>
    <row r="367" spans="1:13" ht="45" customHeight="1" thickBot="1" x14ac:dyDescent="0.3">
      <c r="A367" s="3"/>
      <c r="B367" s="7"/>
      <c r="C367" s="2"/>
      <c r="D367" s="2"/>
      <c r="E367" s="7"/>
      <c r="F367" s="2"/>
      <c r="G367" s="2"/>
      <c r="H367" s="7"/>
      <c r="I367" s="4"/>
      <c r="J367" s="4"/>
      <c r="K367" s="4"/>
      <c r="L367" s="11"/>
      <c r="M367" s="44"/>
    </row>
    <row r="368" spans="1:13" ht="45" customHeight="1" thickBot="1" x14ac:dyDescent="0.3">
      <c r="A368" s="3"/>
      <c r="B368" s="7"/>
      <c r="C368" s="2"/>
      <c r="D368" s="2"/>
      <c r="E368" s="7"/>
      <c r="F368" s="2"/>
      <c r="G368" s="2"/>
      <c r="H368" s="7"/>
      <c r="I368" s="4"/>
      <c r="J368" s="4"/>
      <c r="K368" s="4"/>
      <c r="L368" s="11"/>
      <c r="M368" s="44"/>
    </row>
    <row r="369" spans="1:13" ht="45" customHeight="1" thickBot="1" x14ac:dyDescent="0.3">
      <c r="A369" s="3"/>
      <c r="B369" s="7"/>
      <c r="C369" s="2"/>
      <c r="D369" s="2"/>
      <c r="E369" s="7"/>
      <c r="F369" s="2"/>
      <c r="G369" s="2"/>
      <c r="H369" s="7"/>
      <c r="I369" s="4"/>
      <c r="J369" s="4"/>
      <c r="K369" s="4"/>
      <c r="L369" s="11"/>
      <c r="M369" s="44"/>
    </row>
    <row r="370" spans="1:13" ht="45" customHeight="1" thickBot="1" x14ac:dyDescent="0.3">
      <c r="A370" s="3"/>
      <c r="B370" s="7"/>
      <c r="C370" s="2"/>
      <c r="D370" s="2"/>
      <c r="E370" s="7"/>
      <c r="F370" s="2"/>
      <c r="G370" s="2"/>
      <c r="H370" s="7"/>
      <c r="I370" s="4"/>
      <c r="J370" s="4"/>
      <c r="K370" s="4"/>
      <c r="L370" s="11"/>
      <c r="M370" s="44"/>
    </row>
    <row r="371" spans="1:13" ht="45" customHeight="1" thickBot="1" x14ac:dyDescent="0.3">
      <c r="A371" s="3"/>
      <c r="B371" s="7"/>
      <c r="C371" s="2"/>
      <c r="D371" s="2"/>
      <c r="E371" s="7"/>
      <c r="F371" s="2"/>
      <c r="G371" s="2"/>
      <c r="H371" s="7"/>
      <c r="I371" s="4"/>
      <c r="J371" s="4"/>
      <c r="K371" s="4"/>
      <c r="L371" s="11"/>
      <c r="M371" s="44"/>
    </row>
    <row r="372" spans="1:13" ht="45" customHeight="1" thickBot="1" x14ac:dyDescent="0.3">
      <c r="A372" s="3"/>
      <c r="B372" s="7"/>
      <c r="C372" s="2"/>
      <c r="D372" s="2"/>
      <c r="E372" s="7"/>
      <c r="F372" s="2"/>
      <c r="G372" s="2"/>
      <c r="H372" s="7"/>
      <c r="I372" s="4"/>
      <c r="J372" s="4"/>
      <c r="K372" s="4"/>
      <c r="L372" s="11"/>
      <c r="M372" s="44"/>
    </row>
    <row r="373" spans="1:13" ht="45" customHeight="1" thickBot="1" x14ac:dyDescent="0.3">
      <c r="A373" s="3"/>
      <c r="B373" s="7"/>
      <c r="C373" s="2"/>
      <c r="D373" s="2"/>
      <c r="E373" s="7"/>
      <c r="F373" s="2"/>
      <c r="G373" s="2"/>
      <c r="H373" s="7"/>
      <c r="I373" s="4"/>
      <c r="J373" s="4"/>
      <c r="K373" s="4"/>
      <c r="L373" s="11"/>
      <c r="M373" s="44"/>
    </row>
    <row r="374" spans="1:13" ht="45" customHeight="1" thickBot="1" x14ac:dyDescent="0.3">
      <c r="A374" s="3"/>
      <c r="B374" s="7"/>
      <c r="C374" s="2"/>
      <c r="D374" s="2"/>
      <c r="E374" s="7"/>
      <c r="F374" s="2"/>
      <c r="G374" s="2"/>
      <c r="H374" s="7"/>
      <c r="I374" s="4"/>
      <c r="J374" s="4"/>
      <c r="K374" s="4"/>
      <c r="L374" s="11"/>
      <c r="M374" s="44"/>
    </row>
    <row r="375" spans="1:13" ht="45" customHeight="1" thickBot="1" x14ac:dyDescent="0.3">
      <c r="A375" s="3"/>
      <c r="B375" s="7"/>
      <c r="C375" s="2"/>
      <c r="D375" s="2"/>
      <c r="E375" s="7"/>
      <c r="F375" s="2"/>
      <c r="G375" s="2"/>
      <c r="H375" s="7"/>
      <c r="I375" s="4"/>
      <c r="J375" s="4"/>
      <c r="K375" s="4"/>
      <c r="L375" s="11"/>
      <c r="M375" s="44"/>
    </row>
    <row r="376" spans="1:13" ht="45" customHeight="1" thickBot="1" x14ac:dyDescent="0.3">
      <c r="A376" s="3"/>
      <c r="B376" s="7"/>
      <c r="C376" s="2"/>
      <c r="D376" s="2"/>
      <c r="E376" s="7"/>
      <c r="F376" s="2"/>
      <c r="G376" s="2"/>
      <c r="H376" s="7"/>
      <c r="I376" s="4"/>
      <c r="J376" s="4"/>
      <c r="K376" s="4"/>
      <c r="L376" s="11"/>
      <c r="M376" s="44"/>
    </row>
    <row r="377" spans="1:13" ht="45" customHeight="1" thickBot="1" x14ac:dyDescent="0.3">
      <c r="A377" s="3"/>
      <c r="B377" s="7"/>
      <c r="C377" s="2"/>
      <c r="D377" s="2"/>
      <c r="E377" s="7"/>
      <c r="F377" s="2"/>
      <c r="G377" s="2"/>
      <c r="H377" s="7"/>
      <c r="I377" s="4"/>
      <c r="J377" s="4"/>
      <c r="K377" s="4"/>
      <c r="L377" s="11"/>
      <c r="M377" s="44"/>
    </row>
    <row r="378" spans="1:13" ht="45" customHeight="1" thickBot="1" x14ac:dyDescent="0.3">
      <c r="A378" s="3"/>
      <c r="B378" s="7"/>
      <c r="C378" s="2"/>
      <c r="D378" s="2"/>
      <c r="E378" s="7"/>
      <c r="F378" s="2"/>
      <c r="G378" s="2"/>
      <c r="H378" s="7"/>
      <c r="I378" s="4"/>
      <c r="J378" s="4"/>
      <c r="K378" s="4"/>
      <c r="L378" s="11"/>
      <c r="M378" s="44"/>
    </row>
    <row r="379" spans="1:13" ht="45" customHeight="1" thickBot="1" x14ac:dyDescent="0.3">
      <c r="A379" s="3"/>
      <c r="B379" s="7"/>
      <c r="C379" s="2"/>
      <c r="D379" s="2"/>
      <c r="E379" s="7"/>
      <c r="F379" s="2"/>
      <c r="G379" s="2"/>
      <c r="H379" s="7"/>
      <c r="I379" s="4"/>
      <c r="J379" s="4"/>
      <c r="K379" s="4"/>
      <c r="L379" s="11"/>
      <c r="M379" s="44"/>
    </row>
    <row r="380" spans="1:13" ht="45" customHeight="1" thickBot="1" x14ac:dyDescent="0.3">
      <c r="A380" s="3"/>
      <c r="B380" s="7"/>
      <c r="C380" s="2"/>
      <c r="D380" s="2"/>
      <c r="E380" s="7"/>
      <c r="F380" s="2"/>
      <c r="G380" s="2"/>
      <c r="H380" s="7"/>
      <c r="I380" s="4"/>
      <c r="J380" s="4"/>
      <c r="K380" s="4"/>
      <c r="L380" s="11"/>
      <c r="M380" s="44"/>
    </row>
    <row r="381" spans="1:13" ht="45" customHeight="1" thickBot="1" x14ac:dyDescent="0.3">
      <c r="A381" s="3"/>
      <c r="B381" s="7"/>
      <c r="C381" s="2"/>
      <c r="D381" s="2"/>
      <c r="E381" s="7"/>
      <c r="F381" s="2"/>
      <c r="G381" s="2"/>
      <c r="H381" s="7"/>
      <c r="I381" s="4"/>
      <c r="J381" s="4"/>
      <c r="K381" s="4"/>
      <c r="L381" s="11"/>
      <c r="M381" s="44"/>
    </row>
    <row r="382" spans="1:13" ht="45" customHeight="1" thickBot="1" x14ac:dyDescent="0.3">
      <c r="A382" s="3"/>
      <c r="B382" s="7"/>
      <c r="C382" s="2"/>
      <c r="D382" s="2"/>
      <c r="E382" s="7"/>
      <c r="F382" s="2"/>
      <c r="G382" s="2"/>
      <c r="H382" s="7"/>
      <c r="I382" s="4"/>
      <c r="J382" s="4"/>
      <c r="K382" s="4"/>
      <c r="L382" s="11"/>
      <c r="M382" s="44"/>
    </row>
    <row r="383" spans="1:13" ht="45" customHeight="1" thickBot="1" x14ac:dyDescent="0.3">
      <c r="A383" s="3"/>
      <c r="B383" s="7"/>
      <c r="C383" s="2"/>
      <c r="D383" s="2"/>
      <c r="E383" s="7"/>
      <c r="F383" s="2"/>
      <c r="G383" s="2"/>
      <c r="H383" s="7"/>
      <c r="I383" s="4"/>
      <c r="J383" s="4"/>
      <c r="K383" s="4"/>
      <c r="L383" s="11"/>
      <c r="M383" s="44"/>
    </row>
    <row r="384" spans="1:13" ht="45" customHeight="1" thickBot="1" x14ac:dyDescent="0.3">
      <c r="A384" s="3"/>
      <c r="B384" s="7"/>
      <c r="C384" s="2"/>
      <c r="D384" s="2"/>
      <c r="E384" s="7"/>
      <c r="F384" s="2"/>
      <c r="G384" s="2"/>
      <c r="H384" s="7"/>
      <c r="I384" s="4"/>
      <c r="J384" s="4"/>
      <c r="K384" s="4"/>
      <c r="L384" s="11"/>
      <c r="M384" s="44"/>
    </row>
    <row r="385" spans="1:13" ht="45" customHeight="1" thickBot="1" x14ac:dyDescent="0.3">
      <c r="A385" s="3"/>
      <c r="B385" s="7"/>
      <c r="C385" s="2"/>
      <c r="D385" s="2"/>
      <c r="E385" s="7"/>
      <c r="F385" s="2"/>
      <c r="G385" s="2"/>
      <c r="H385" s="7"/>
      <c r="I385" s="4"/>
      <c r="J385" s="4"/>
      <c r="K385" s="4"/>
      <c r="L385" s="11"/>
      <c r="M385" s="44"/>
    </row>
    <row r="386" spans="1:13" ht="45" customHeight="1" thickBot="1" x14ac:dyDescent="0.3">
      <c r="A386" s="3"/>
      <c r="B386" s="7"/>
      <c r="C386" s="2"/>
      <c r="D386" s="2"/>
      <c r="E386" s="7"/>
      <c r="F386" s="2"/>
      <c r="G386" s="2"/>
      <c r="H386" s="7"/>
      <c r="I386" s="4"/>
      <c r="J386" s="4"/>
      <c r="K386" s="4"/>
      <c r="L386" s="11"/>
      <c r="M386" s="44"/>
    </row>
    <row r="387" spans="1:13" ht="45" customHeight="1" thickBot="1" x14ac:dyDescent="0.3">
      <c r="A387" s="3"/>
      <c r="B387" s="7"/>
      <c r="C387" s="2"/>
      <c r="D387" s="2"/>
      <c r="E387" s="7"/>
      <c r="F387" s="2"/>
      <c r="G387" s="2"/>
      <c r="H387" s="7"/>
      <c r="I387" s="4"/>
      <c r="J387" s="4"/>
      <c r="K387" s="4"/>
      <c r="L387" s="11"/>
      <c r="M387" s="44"/>
    </row>
    <row r="388" spans="1:13" ht="45" customHeight="1" thickBot="1" x14ac:dyDescent="0.3">
      <c r="A388" s="3"/>
      <c r="B388" s="7"/>
      <c r="C388" s="2"/>
      <c r="D388" s="2"/>
      <c r="E388" s="7"/>
      <c r="F388" s="2"/>
      <c r="G388" s="2"/>
      <c r="H388" s="7"/>
      <c r="I388" s="4"/>
      <c r="J388" s="4"/>
      <c r="K388" s="4"/>
      <c r="L388" s="11"/>
      <c r="M388" s="44"/>
    </row>
    <row r="389" spans="1:13" ht="45" customHeight="1" thickBot="1" x14ac:dyDescent="0.3">
      <c r="A389" s="3"/>
      <c r="B389" s="7"/>
      <c r="C389" s="4"/>
      <c r="D389" s="2"/>
      <c r="E389" s="7"/>
      <c r="F389" s="2"/>
      <c r="G389" s="2"/>
      <c r="H389" s="7"/>
      <c r="I389" s="4"/>
      <c r="J389" s="4"/>
      <c r="K389" s="4"/>
      <c r="L389" s="11"/>
      <c r="M389" s="44"/>
    </row>
    <row r="390" spans="1:13" ht="45" customHeight="1" thickBot="1" x14ac:dyDescent="0.3">
      <c r="A390" s="3"/>
      <c r="B390" s="7"/>
      <c r="C390" s="4"/>
      <c r="D390" s="2"/>
      <c r="E390" s="7"/>
      <c r="F390" s="2"/>
      <c r="G390" s="2"/>
      <c r="H390" s="7"/>
      <c r="I390" s="4"/>
      <c r="J390" s="4"/>
      <c r="K390" s="4"/>
      <c r="L390" s="11"/>
      <c r="M390" s="44"/>
    </row>
    <row r="391" spans="1:13" s="8" customFormat="1" ht="45" customHeight="1" thickBot="1" x14ac:dyDescent="0.3">
      <c r="A391" s="3"/>
      <c r="B391" s="7"/>
      <c r="C391" s="2"/>
      <c r="D391" s="10"/>
      <c r="E391" s="7"/>
      <c r="F391" s="7"/>
      <c r="G391" s="7"/>
      <c r="H391" s="4"/>
      <c r="I391" s="4"/>
      <c r="J391" s="2"/>
      <c r="K391" s="2"/>
      <c r="L391" s="12"/>
      <c r="M391" s="6"/>
    </row>
    <row r="392" spans="1:13" s="8" customFormat="1" ht="45" customHeight="1" thickBot="1" x14ac:dyDescent="0.3">
      <c r="A392" s="3"/>
      <c r="B392" s="7"/>
      <c r="C392" s="2"/>
      <c r="D392" s="10"/>
      <c r="E392" s="7"/>
      <c r="F392" s="7"/>
      <c r="G392" s="7"/>
      <c r="H392" s="4"/>
      <c r="I392" s="4"/>
      <c r="J392" s="2"/>
      <c r="K392" s="2"/>
      <c r="L392" s="12"/>
      <c r="M392" s="6"/>
    </row>
    <row r="393" spans="1:13" s="8" customFormat="1" ht="45" customHeight="1" thickBot="1" x14ac:dyDescent="0.3">
      <c r="A393" s="3"/>
      <c r="B393" s="7"/>
      <c r="C393" s="2"/>
      <c r="D393" s="2"/>
      <c r="E393" s="7"/>
      <c r="F393" s="7"/>
      <c r="G393" s="7"/>
      <c r="H393" s="4"/>
      <c r="I393" s="4"/>
      <c r="J393" s="2"/>
      <c r="K393" s="2"/>
      <c r="L393" s="12"/>
      <c r="M393" s="6"/>
    </row>
    <row r="394" spans="1:13" s="8" customFormat="1" ht="45" customHeight="1" thickBot="1" x14ac:dyDescent="0.3">
      <c r="A394" s="3"/>
      <c r="B394" s="7"/>
      <c r="C394" s="2"/>
      <c r="D394" s="2"/>
      <c r="E394" s="7"/>
      <c r="F394" s="7"/>
      <c r="G394" s="7"/>
      <c r="H394" s="4"/>
      <c r="I394" s="4"/>
      <c r="J394" s="2"/>
      <c r="K394" s="2"/>
      <c r="L394" s="12"/>
      <c r="M394" s="6"/>
    </row>
    <row r="395" spans="1:13" s="8" customFormat="1" ht="45" customHeight="1" thickBot="1" x14ac:dyDescent="0.3">
      <c r="A395" s="3"/>
      <c r="B395" s="7"/>
      <c r="C395" s="2"/>
      <c r="D395" s="15"/>
      <c r="E395" s="7"/>
      <c r="F395" s="2"/>
      <c r="G395" s="2"/>
      <c r="H395" s="2"/>
      <c r="I395" s="4"/>
      <c r="J395" s="2"/>
      <c r="K395" s="2"/>
      <c r="L395" s="12"/>
      <c r="M395" s="6"/>
    </row>
    <row r="396" spans="1:13" s="8" customFormat="1" ht="45" customHeight="1" thickBot="1" x14ac:dyDescent="0.3">
      <c r="A396" s="3"/>
      <c r="B396" s="7"/>
      <c r="C396" s="2"/>
      <c r="D396" s="15"/>
      <c r="E396" s="2"/>
      <c r="F396" s="2"/>
      <c r="G396" s="2"/>
      <c r="H396" s="2"/>
      <c r="I396" s="4"/>
      <c r="J396" s="2"/>
      <c r="K396" s="2"/>
      <c r="L396" s="12"/>
      <c r="M396" s="6"/>
    </row>
    <row r="397" spans="1:13" s="8" customFormat="1" ht="45" customHeight="1" thickBot="1" x14ac:dyDescent="0.3">
      <c r="A397" s="3"/>
      <c r="B397" s="7"/>
      <c r="C397" s="2"/>
      <c r="D397" s="15"/>
      <c r="E397" s="2"/>
      <c r="F397" s="2"/>
      <c r="G397" s="2"/>
      <c r="H397" s="2"/>
      <c r="I397" s="4"/>
      <c r="J397" s="2"/>
      <c r="K397" s="2"/>
      <c r="L397" s="12"/>
      <c r="M397" s="6"/>
    </row>
    <row r="398" spans="1:13" s="8" customFormat="1" ht="45" customHeight="1" thickBot="1" x14ac:dyDescent="0.3">
      <c r="A398" s="3"/>
      <c r="B398" s="7"/>
      <c r="C398" s="2"/>
      <c r="D398" s="15"/>
      <c r="E398" s="2"/>
      <c r="F398" s="2"/>
      <c r="G398" s="2"/>
      <c r="H398" s="2"/>
      <c r="I398" s="4"/>
      <c r="J398" s="2"/>
      <c r="K398" s="2"/>
      <c r="L398" s="12"/>
      <c r="M398" s="6"/>
    </row>
    <row r="399" spans="1:13" s="8" customFormat="1" ht="45" customHeight="1" thickBot="1" x14ac:dyDescent="0.3">
      <c r="A399" s="3"/>
      <c r="B399" s="7"/>
      <c r="C399" s="2"/>
      <c r="D399" s="15"/>
      <c r="E399" s="2"/>
      <c r="F399" s="2"/>
      <c r="G399" s="2"/>
      <c r="H399" s="2"/>
      <c r="I399" s="4"/>
      <c r="J399" s="2"/>
      <c r="K399" s="2"/>
      <c r="L399" s="12"/>
      <c r="M399" s="6"/>
    </row>
    <row r="400" spans="1:13" s="8" customFormat="1" ht="45" customHeight="1" thickBot="1" x14ac:dyDescent="0.3">
      <c r="A400" s="3"/>
      <c r="B400" s="2" t="s">
        <v>18</v>
      </c>
      <c r="C400" s="2"/>
      <c r="D400" s="2"/>
      <c r="E400" s="2"/>
      <c r="F400" s="2"/>
      <c r="G400" s="2"/>
      <c r="H400" s="2"/>
      <c r="I400" s="2" t="s">
        <v>4</v>
      </c>
      <c r="J400" s="2">
        <f>SUM(J7:J399)</f>
        <v>0</v>
      </c>
      <c r="K400" s="2"/>
      <c r="L400" s="12"/>
      <c r="M400" s="6"/>
    </row>
  </sheetData>
  <autoFilter ref="A5:M6" xr:uid="{00000000-0009-0000-0000-000004000000}"/>
  <mergeCells count="16">
    <mergeCell ref="M5:M6"/>
    <mergeCell ref="A1:M2"/>
    <mergeCell ref="A3:M3"/>
    <mergeCell ref="A4:M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7" right="0.7" top="0.75" bottom="0.75" header="0.3" footer="0.3"/>
  <pageSetup scale="5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8"/>
  <sheetViews>
    <sheetView view="pageBreakPreview" topLeftCell="A4" zoomScaleNormal="100" zoomScaleSheetLayoutView="100" workbookViewId="0">
      <pane xSplit="2" ySplit="3" topLeftCell="C154" activePane="bottomRight" state="frozen"/>
      <selection activeCell="A4" sqref="A4"/>
      <selection pane="topRight" activeCell="C4" sqref="C4"/>
      <selection pane="bottomLeft" activeCell="A7" sqref="A7"/>
      <selection pane="bottomRight" activeCell="C156" sqref="C156"/>
    </sheetView>
  </sheetViews>
  <sheetFormatPr defaultRowHeight="15" x14ac:dyDescent="0.25"/>
  <cols>
    <col min="1" max="1" width="16.5703125" style="8" customWidth="1"/>
    <col min="2" max="2" width="24.28515625" style="1" customWidth="1"/>
    <col min="3" max="3" width="32.140625" style="1" bestFit="1" customWidth="1"/>
    <col min="4" max="4" width="33.5703125" style="1" customWidth="1"/>
    <col min="5" max="5" width="28" style="1" bestFit="1" customWidth="1"/>
    <col min="6" max="6" width="10.7109375" style="1" bestFit="1" customWidth="1"/>
    <col min="7" max="7" width="25.28515625" style="1" bestFit="1" customWidth="1"/>
    <col min="8" max="8" width="9.140625" style="1"/>
    <col min="9" max="9" width="20.7109375" style="1" customWidth="1"/>
    <col min="10" max="11" width="20.7109375" style="1" hidden="1" customWidth="1"/>
    <col min="12" max="12" width="21.5703125" style="1" customWidth="1"/>
    <col min="13" max="16384" width="9.140625" style="1"/>
  </cols>
  <sheetData>
    <row r="1" spans="1:12" x14ac:dyDescent="0.25">
      <c r="A1" s="68"/>
      <c r="B1" s="69"/>
      <c r="C1" s="69"/>
      <c r="D1" s="69"/>
      <c r="E1" s="69"/>
      <c r="F1" s="69"/>
      <c r="G1" s="69"/>
      <c r="H1" s="69"/>
      <c r="I1" s="69"/>
      <c r="J1" s="70"/>
      <c r="K1" s="70"/>
      <c r="L1" s="71"/>
    </row>
    <row r="2" spans="1:12" ht="15.75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</row>
    <row r="3" spans="1:12" ht="24.95" customHeight="1" thickBot="1" x14ac:dyDescent="0.3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2" ht="24.95" customHeight="1" thickBot="1" x14ac:dyDescent="0.3">
      <c r="A4" s="79" t="s">
        <v>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2" ht="18" customHeight="1" x14ac:dyDescent="0.25">
      <c r="A5" s="82" t="s">
        <v>1</v>
      </c>
      <c r="B5" s="84" t="s">
        <v>21</v>
      </c>
      <c r="C5" s="84" t="s">
        <v>28</v>
      </c>
      <c r="D5" s="84" t="s">
        <v>22</v>
      </c>
      <c r="E5" s="84" t="s">
        <v>23</v>
      </c>
      <c r="F5" s="84" t="s">
        <v>26</v>
      </c>
      <c r="G5" s="84" t="s">
        <v>27</v>
      </c>
      <c r="H5" s="84" t="s">
        <v>2</v>
      </c>
      <c r="I5" s="86" t="s">
        <v>24</v>
      </c>
      <c r="J5" s="86" t="s">
        <v>24</v>
      </c>
      <c r="K5" s="86" t="s">
        <v>25</v>
      </c>
      <c r="L5" s="66" t="s">
        <v>3</v>
      </c>
    </row>
    <row r="6" spans="1:12" ht="18" customHeight="1" thickBot="1" x14ac:dyDescent="0.3">
      <c r="A6" s="83"/>
      <c r="B6" s="85"/>
      <c r="C6" s="85"/>
      <c r="D6" s="85"/>
      <c r="E6" s="85"/>
      <c r="F6" s="85"/>
      <c r="G6" s="85"/>
      <c r="H6" s="85"/>
      <c r="I6" s="87"/>
      <c r="J6" s="87"/>
      <c r="K6" s="87"/>
      <c r="L6" s="67"/>
    </row>
    <row r="7" spans="1:12" ht="45" customHeight="1" thickBot="1" x14ac:dyDescent="0.3">
      <c r="A7" s="3"/>
      <c r="B7" s="7" t="s">
        <v>7</v>
      </c>
      <c r="C7" s="7" t="s">
        <v>38</v>
      </c>
      <c r="D7" s="2">
        <v>202</v>
      </c>
      <c r="E7" s="7" t="s">
        <v>39</v>
      </c>
      <c r="F7" s="7" t="s">
        <v>40</v>
      </c>
      <c r="G7" s="7" t="s">
        <v>32</v>
      </c>
      <c r="H7" s="4" t="s">
        <v>4</v>
      </c>
      <c r="I7" s="4">
        <v>466.07799999999997</v>
      </c>
      <c r="J7" s="4"/>
      <c r="K7" s="11"/>
      <c r="L7" s="5"/>
    </row>
    <row r="8" spans="1:12" ht="45" customHeight="1" thickBot="1" x14ac:dyDescent="0.3">
      <c r="A8" s="3"/>
      <c r="B8" s="7" t="s">
        <v>7</v>
      </c>
      <c r="C8" s="7" t="s">
        <v>38</v>
      </c>
      <c r="D8" s="2">
        <v>203</v>
      </c>
      <c r="E8" s="7" t="s">
        <v>39</v>
      </c>
      <c r="F8" s="7" t="s">
        <v>40</v>
      </c>
      <c r="G8" s="7" t="s">
        <v>32</v>
      </c>
      <c r="H8" s="4" t="s">
        <v>4</v>
      </c>
      <c r="I8" s="4">
        <v>341.93400000000003</v>
      </c>
      <c r="J8" s="4"/>
      <c r="K8" s="11"/>
      <c r="L8" s="5"/>
    </row>
    <row r="9" spans="1:12" ht="45" customHeight="1" thickBot="1" x14ac:dyDescent="0.3">
      <c r="A9" s="3"/>
      <c r="B9" s="7" t="s">
        <v>7</v>
      </c>
      <c r="C9" s="7" t="s">
        <v>38</v>
      </c>
      <c r="D9" s="2">
        <v>204</v>
      </c>
      <c r="E9" s="7" t="s">
        <v>39</v>
      </c>
      <c r="F9" s="7" t="s">
        <v>40</v>
      </c>
      <c r="G9" s="7" t="s">
        <v>32</v>
      </c>
      <c r="H9" s="4" t="s">
        <v>4</v>
      </c>
      <c r="I9" s="4">
        <v>346.18700000000001</v>
      </c>
      <c r="J9" s="4"/>
      <c r="K9" s="11"/>
      <c r="L9" s="5"/>
    </row>
    <row r="10" spans="1:12" ht="45" customHeight="1" thickBot="1" x14ac:dyDescent="0.3">
      <c r="A10" s="3"/>
      <c r="B10" s="7" t="s">
        <v>7</v>
      </c>
      <c r="C10" s="7" t="s">
        <v>38</v>
      </c>
      <c r="D10" s="2" t="s">
        <v>11</v>
      </c>
      <c r="E10" s="7" t="s">
        <v>39</v>
      </c>
      <c r="F10" s="7" t="s">
        <v>40</v>
      </c>
      <c r="G10" s="7" t="s">
        <v>32</v>
      </c>
      <c r="H10" s="4" t="s">
        <v>4</v>
      </c>
      <c r="I10" s="4">
        <v>178.55</v>
      </c>
      <c r="J10" s="4"/>
      <c r="K10" s="11"/>
      <c r="L10" s="5"/>
    </row>
    <row r="11" spans="1:12" ht="45" customHeight="1" thickBot="1" x14ac:dyDescent="0.3">
      <c r="A11" s="3"/>
      <c r="B11" s="7" t="s">
        <v>7</v>
      </c>
      <c r="C11" s="7" t="s">
        <v>38</v>
      </c>
      <c r="D11" s="2">
        <v>202</v>
      </c>
      <c r="E11" s="7" t="s">
        <v>39</v>
      </c>
      <c r="F11" s="7" t="s">
        <v>40</v>
      </c>
      <c r="G11" s="7" t="s">
        <v>34</v>
      </c>
      <c r="H11" s="4" t="s">
        <v>4</v>
      </c>
      <c r="I11" s="4">
        <v>63.47</v>
      </c>
      <c r="J11" s="4"/>
      <c r="K11" s="11"/>
      <c r="L11" s="5"/>
    </row>
    <row r="12" spans="1:12" ht="45" customHeight="1" thickBot="1" x14ac:dyDescent="0.3">
      <c r="A12" s="3"/>
      <c r="B12" s="7" t="s">
        <v>7</v>
      </c>
      <c r="C12" s="7" t="s">
        <v>38</v>
      </c>
      <c r="D12" s="2">
        <v>203</v>
      </c>
      <c r="E12" s="7" t="s">
        <v>39</v>
      </c>
      <c r="F12" s="7" t="s">
        <v>40</v>
      </c>
      <c r="G12" s="7" t="s">
        <v>34</v>
      </c>
      <c r="H12" s="4" t="s">
        <v>4</v>
      </c>
      <c r="I12" s="4">
        <v>33.700000000000003</v>
      </c>
      <c r="J12" s="4"/>
      <c r="K12" s="11"/>
      <c r="L12" s="5"/>
    </row>
    <row r="13" spans="1:12" ht="45" customHeight="1" thickBot="1" x14ac:dyDescent="0.3">
      <c r="A13" s="3"/>
      <c r="B13" s="7" t="s">
        <v>7</v>
      </c>
      <c r="C13" s="7" t="s">
        <v>41</v>
      </c>
      <c r="D13" s="2" t="s">
        <v>42</v>
      </c>
      <c r="E13" s="7" t="s">
        <v>39</v>
      </c>
      <c r="F13" s="7" t="s">
        <v>40</v>
      </c>
      <c r="G13" s="7" t="s">
        <v>34</v>
      </c>
      <c r="H13" s="4" t="s">
        <v>4</v>
      </c>
      <c r="I13" s="4">
        <v>346.48</v>
      </c>
      <c r="J13" s="4"/>
      <c r="K13" s="11"/>
      <c r="L13" s="5"/>
    </row>
    <row r="14" spans="1:12" ht="45" customHeight="1" thickBot="1" x14ac:dyDescent="0.3">
      <c r="A14" s="3"/>
      <c r="B14" s="7" t="s">
        <v>7</v>
      </c>
      <c r="C14" s="7" t="s">
        <v>43</v>
      </c>
      <c r="D14" s="2">
        <v>1701</v>
      </c>
      <c r="E14" s="7" t="s">
        <v>39</v>
      </c>
      <c r="F14" s="7" t="s">
        <v>40</v>
      </c>
      <c r="G14" s="7" t="s">
        <v>32</v>
      </c>
      <c r="H14" s="4" t="s">
        <v>4</v>
      </c>
      <c r="I14" s="4">
        <v>91.052999999999997</v>
      </c>
      <c r="J14" s="4"/>
      <c r="K14" s="11"/>
      <c r="L14" s="5"/>
    </row>
    <row r="15" spans="1:12" ht="45" customHeight="1" thickBot="1" x14ac:dyDescent="0.3">
      <c r="A15" s="3"/>
      <c r="B15" s="7" t="s">
        <v>7</v>
      </c>
      <c r="C15" s="7" t="s">
        <v>9</v>
      </c>
      <c r="D15" s="14" t="s">
        <v>45</v>
      </c>
      <c r="E15" s="7" t="s">
        <v>39</v>
      </c>
      <c r="F15" s="7" t="s">
        <v>40</v>
      </c>
      <c r="G15" s="7" t="s">
        <v>32</v>
      </c>
      <c r="H15" s="4" t="s">
        <v>44</v>
      </c>
      <c r="I15" s="4">
        <v>43.2</v>
      </c>
      <c r="J15" s="4"/>
      <c r="K15" s="11"/>
      <c r="L15" s="5"/>
    </row>
    <row r="16" spans="1:12" ht="45" customHeight="1" thickBot="1" x14ac:dyDescent="0.3">
      <c r="A16" s="3"/>
      <c r="B16" s="7" t="s">
        <v>7</v>
      </c>
      <c r="C16" s="7" t="s">
        <v>9</v>
      </c>
      <c r="D16" s="14" t="s">
        <v>46</v>
      </c>
      <c r="E16" s="7" t="s">
        <v>39</v>
      </c>
      <c r="F16" s="7" t="s">
        <v>40</v>
      </c>
      <c r="G16" s="7" t="s">
        <v>32</v>
      </c>
      <c r="H16" s="4" t="s">
        <v>4</v>
      </c>
      <c r="I16" s="4">
        <v>19.399999999999999</v>
      </c>
      <c r="J16" s="4"/>
      <c r="K16" s="11"/>
      <c r="L16" s="5"/>
    </row>
    <row r="17" spans="1:12" ht="45" customHeight="1" thickBot="1" x14ac:dyDescent="0.3">
      <c r="A17" s="3"/>
      <c r="B17" s="7" t="s">
        <v>7</v>
      </c>
      <c r="C17" s="7" t="s">
        <v>47</v>
      </c>
      <c r="D17" s="14" t="s">
        <v>294</v>
      </c>
      <c r="E17" s="7" t="s">
        <v>39</v>
      </c>
      <c r="F17" s="7" t="s">
        <v>40</v>
      </c>
      <c r="G17" s="7" t="s">
        <v>32</v>
      </c>
      <c r="H17" s="4" t="s">
        <v>48</v>
      </c>
      <c r="I17" s="4">
        <v>42</v>
      </c>
      <c r="J17" s="4"/>
      <c r="K17" s="11"/>
      <c r="L17" s="5"/>
    </row>
    <row r="18" spans="1:12" ht="45" customHeight="1" thickBot="1" x14ac:dyDescent="0.3">
      <c r="A18" s="3" t="s">
        <v>6</v>
      </c>
      <c r="B18" s="7" t="s">
        <v>7</v>
      </c>
      <c r="C18" s="7" t="s">
        <v>29</v>
      </c>
      <c r="D18" s="2">
        <v>302</v>
      </c>
      <c r="E18" s="7" t="s">
        <v>30</v>
      </c>
      <c r="F18" s="7" t="s">
        <v>31</v>
      </c>
      <c r="G18" s="7" t="s">
        <v>32</v>
      </c>
      <c r="H18" s="4" t="s">
        <v>4</v>
      </c>
      <c r="I18" s="4">
        <v>485.25</v>
      </c>
      <c r="J18" s="4">
        <v>485.25</v>
      </c>
      <c r="K18" s="11">
        <f>I18-J18</f>
        <v>0</v>
      </c>
      <c r="L18" s="5" t="s">
        <v>33</v>
      </c>
    </row>
    <row r="19" spans="1:12" ht="45" customHeight="1" thickBot="1" x14ac:dyDescent="0.3">
      <c r="A19" s="3"/>
      <c r="B19" s="7" t="s">
        <v>7</v>
      </c>
      <c r="C19" s="7" t="s">
        <v>29</v>
      </c>
      <c r="D19" s="2">
        <v>303</v>
      </c>
      <c r="E19" s="7" t="s">
        <v>30</v>
      </c>
      <c r="F19" s="7" t="s">
        <v>31</v>
      </c>
      <c r="G19" s="7" t="s">
        <v>32</v>
      </c>
      <c r="H19" s="4" t="s">
        <v>4</v>
      </c>
      <c r="I19" s="4">
        <v>360.69</v>
      </c>
      <c r="J19" s="4">
        <v>360.69</v>
      </c>
      <c r="K19" s="11">
        <f t="shared" ref="K19:K23" si="0">I19-J19</f>
        <v>0</v>
      </c>
      <c r="L19" s="5" t="s">
        <v>33</v>
      </c>
    </row>
    <row r="20" spans="1:12" ht="45" customHeight="1" thickBot="1" x14ac:dyDescent="0.3">
      <c r="A20" s="3"/>
      <c r="B20" s="7" t="s">
        <v>7</v>
      </c>
      <c r="C20" s="7" t="s">
        <v>29</v>
      </c>
      <c r="D20" s="2">
        <v>304</v>
      </c>
      <c r="E20" s="7" t="s">
        <v>30</v>
      </c>
      <c r="F20" s="7" t="s">
        <v>31</v>
      </c>
      <c r="G20" s="7" t="s">
        <v>32</v>
      </c>
      <c r="H20" s="4" t="s">
        <v>4</v>
      </c>
      <c r="I20" s="4">
        <v>348.87</v>
      </c>
      <c r="J20" s="4">
        <v>348.87</v>
      </c>
      <c r="K20" s="11">
        <f t="shared" si="0"/>
        <v>0</v>
      </c>
      <c r="L20" s="5" t="s">
        <v>33</v>
      </c>
    </row>
    <row r="21" spans="1:12" ht="45" customHeight="1" thickBot="1" x14ac:dyDescent="0.3">
      <c r="A21" s="3"/>
      <c r="B21" s="7" t="s">
        <v>7</v>
      </c>
      <c r="C21" s="7" t="s">
        <v>29</v>
      </c>
      <c r="D21" s="13">
        <v>302303304</v>
      </c>
      <c r="E21" s="7" t="s">
        <v>30</v>
      </c>
      <c r="F21" s="7" t="s">
        <v>31</v>
      </c>
      <c r="G21" s="7" t="s">
        <v>34</v>
      </c>
      <c r="H21" s="4" t="s">
        <v>4</v>
      </c>
      <c r="I21" s="4">
        <v>163.13</v>
      </c>
      <c r="J21" s="4">
        <v>163.13</v>
      </c>
      <c r="K21" s="11">
        <f t="shared" si="0"/>
        <v>0</v>
      </c>
      <c r="L21" s="5" t="s">
        <v>33</v>
      </c>
    </row>
    <row r="22" spans="1:12" ht="45" customHeight="1" thickBot="1" x14ac:dyDescent="0.3">
      <c r="A22" s="3"/>
      <c r="B22" s="7" t="s">
        <v>7</v>
      </c>
      <c r="C22" s="7" t="s">
        <v>35</v>
      </c>
      <c r="D22" s="2" t="s">
        <v>36</v>
      </c>
      <c r="E22" s="7" t="s">
        <v>30</v>
      </c>
      <c r="F22" s="7" t="s">
        <v>31</v>
      </c>
      <c r="G22" s="7" t="s">
        <v>32</v>
      </c>
      <c r="H22" s="4" t="s">
        <v>4</v>
      </c>
      <c r="I22" s="4">
        <v>66.319999999999993</v>
      </c>
      <c r="J22" s="4">
        <v>66.319999999999993</v>
      </c>
      <c r="K22" s="11">
        <f t="shared" si="0"/>
        <v>0</v>
      </c>
      <c r="L22" s="5" t="s">
        <v>33</v>
      </c>
    </row>
    <row r="23" spans="1:12" ht="45" customHeight="1" thickBot="1" x14ac:dyDescent="0.3">
      <c r="A23" s="3"/>
      <c r="B23" s="7" t="s">
        <v>7</v>
      </c>
      <c r="C23" s="7" t="s">
        <v>29</v>
      </c>
      <c r="D23" s="2" t="s">
        <v>37</v>
      </c>
      <c r="E23" s="7" t="s">
        <v>30</v>
      </c>
      <c r="F23" s="7" t="s">
        <v>31</v>
      </c>
      <c r="G23" s="7" t="s">
        <v>32</v>
      </c>
      <c r="H23" s="4" t="s">
        <v>4</v>
      </c>
      <c r="I23" s="4">
        <v>64.08</v>
      </c>
      <c r="J23" s="4">
        <v>64.08</v>
      </c>
      <c r="K23" s="11">
        <f t="shared" si="0"/>
        <v>0</v>
      </c>
      <c r="L23" s="5" t="s">
        <v>33</v>
      </c>
    </row>
    <row r="24" spans="1:12" s="8" customFormat="1" ht="45" customHeight="1" thickBot="1" x14ac:dyDescent="0.3">
      <c r="A24" s="3"/>
      <c r="B24" s="7" t="s">
        <v>7</v>
      </c>
      <c r="C24" s="4" t="s">
        <v>54</v>
      </c>
      <c r="D24" s="2" t="s">
        <v>50</v>
      </c>
      <c r="E24" s="7" t="s">
        <v>51</v>
      </c>
      <c r="F24" s="2" t="s">
        <v>52</v>
      </c>
      <c r="G24" s="7" t="s">
        <v>32</v>
      </c>
      <c r="H24" s="4" t="s">
        <v>4</v>
      </c>
      <c r="I24" s="2">
        <v>84.33</v>
      </c>
      <c r="J24" s="2"/>
      <c r="K24" s="12"/>
      <c r="L24" s="6"/>
    </row>
    <row r="25" spans="1:12" s="8" customFormat="1" ht="45" customHeight="1" thickBot="1" x14ac:dyDescent="0.3">
      <c r="A25" s="3"/>
      <c r="B25" s="7" t="s">
        <v>7</v>
      </c>
      <c r="C25" s="4" t="s">
        <v>53</v>
      </c>
      <c r="D25" s="2" t="s">
        <v>49</v>
      </c>
      <c r="E25" s="7" t="s">
        <v>51</v>
      </c>
      <c r="F25" s="2" t="s">
        <v>52</v>
      </c>
      <c r="G25" s="7" t="s">
        <v>32</v>
      </c>
      <c r="H25" s="4" t="s">
        <v>4</v>
      </c>
      <c r="I25" s="2">
        <v>63.04</v>
      </c>
      <c r="J25" s="2"/>
      <c r="K25" s="12"/>
      <c r="L25" s="6"/>
    </row>
    <row r="26" spans="1:12" s="8" customFormat="1" ht="45" customHeight="1" thickBot="1" x14ac:dyDescent="0.3">
      <c r="A26" s="3"/>
      <c r="B26" s="7" t="s">
        <v>7</v>
      </c>
      <c r="C26" s="4" t="s">
        <v>55</v>
      </c>
      <c r="D26" s="10" t="s">
        <v>56</v>
      </c>
      <c r="E26" s="7" t="s">
        <v>51</v>
      </c>
      <c r="F26" s="2" t="s">
        <v>52</v>
      </c>
      <c r="G26" s="7" t="s">
        <v>34</v>
      </c>
      <c r="H26" s="4" t="s">
        <v>4</v>
      </c>
      <c r="I26" s="2">
        <v>169.94</v>
      </c>
      <c r="J26" s="2"/>
      <c r="K26" s="12"/>
      <c r="L26" s="6"/>
    </row>
    <row r="27" spans="1:12" s="8" customFormat="1" ht="45" customHeight="1" thickBot="1" x14ac:dyDescent="0.3">
      <c r="A27" s="3"/>
      <c r="B27" s="7" t="s">
        <v>7</v>
      </c>
      <c r="C27" s="4" t="s">
        <v>57</v>
      </c>
      <c r="D27" s="14" t="s">
        <v>58</v>
      </c>
      <c r="E27" s="7" t="s">
        <v>51</v>
      </c>
      <c r="F27" s="2" t="s">
        <v>52</v>
      </c>
      <c r="G27" s="7" t="s">
        <v>32</v>
      </c>
      <c r="H27" s="4" t="s">
        <v>4</v>
      </c>
      <c r="I27" s="2">
        <v>43.22</v>
      </c>
      <c r="J27" s="2"/>
      <c r="K27" s="12"/>
      <c r="L27" s="6"/>
    </row>
    <row r="28" spans="1:12" s="8" customFormat="1" ht="45" customHeight="1" thickBot="1" x14ac:dyDescent="0.3">
      <c r="A28" s="3"/>
      <c r="B28" s="7" t="s">
        <v>7</v>
      </c>
      <c r="C28" s="7" t="s">
        <v>29</v>
      </c>
      <c r="D28" s="14">
        <v>301</v>
      </c>
      <c r="E28" s="7" t="s">
        <v>30</v>
      </c>
      <c r="F28" s="2" t="s">
        <v>59</v>
      </c>
      <c r="G28" s="7" t="s">
        <v>32</v>
      </c>
      <c r="H28" s="4" t="s">
        <v>4</v>
      </c>
      <c r="I28" s="2">
        <v>488.2</v>
      </c>
      <c r="J28" s="2"/>
      <c r="K28" s="12"/>
      <c r="L28" s="6"/>
    </row>
    <row r="29" spans="1:12" s="8" customFormat="1" ht="45" customHeight="1" thickBot="1" x14ac:dyDescent="0.3">
      <c r="A29" s="3"/>
      <c r="B29" s="7" t="s">
        <v>7</v>
      </c>
      <c r="C29" s="7" t="s">
        <v>29</v>
      </c>
      <c r="D29" s="2">
        <v>305</v>
      </c>
      <c r="E29" s="7" t="s">
        <v>30</v>
      </c>
      <c r="F29" s="2" t="s">
        <v>59</v>
      </c>
      <c r="G29" s="7" t="s">
        <v>32</v>
      </c>
      <c r="H29" s="4" t="s">
        <v>4</v>
      </c>
      <c r="I29" s="2">
        <v>363.67</v>
      </c>
      <c r="J29" s="2"/>
      <c r="K29" s="12"/>
      <c r="L29" s="6"/>
    </row>
    <row r="30" spans="1:12" s="8" customFormat="1" ht="45" customHeight="1" thickBot="1" x14ac:dyDescent="0.3">
      <c r="A30" s="3"/>
      <c r="B30" s="7" t="s">
        <v>7</v>
      </c>
      <c r="C30" s="7" t="s">
        <v>29</v>
      </c>
      <c r="D30" s="2">
        <v>306</v>
      </c>
      <c r="E30" s="7" t="s">
        <v>30</v>
      </c>
      <c r="F30" s="2" t="s">
        <v>59</v>
      </c>
      <c r="G30" s="7" t="s">
        <v>32</v>
      </c>
      <c r="H30" s="4" t="s">
        <v>4</v>
      </c>
      <c r="I30" s="2">
        <v>493.57</v>
      </c>
      <c r="J30" s="2"/>
      <c r="K30" s="12"/>
      <c r="L30" s="6"/>
    </row>
    <row r="31" spans="1:12" s="8" customFormat="1" ht="45" customHeight="1" thickBot="1" x14ac:dyDescent="0.3">
      <c r="A31" s="3"/>
      <c r="B31" s="7" t="s">
        <v>7</v>
      </c>
      <c r="C31" s="7" t="s">
        <v>29</v>
      </c>
      <c r="D31" s="13">
        <v>301306</v>
      </c>
      <c r="E31" s="7" t="s">
        <v>30</v>
      </c>
      <c r="F31" s="2" t="s">
        <v>59</v>
      </c>
      <c r="G31" s="7" t="s">
        <v>34</v>
      </c>
      <c r="H31" s="4" t="s">
        <v>4</v>
      </c>
      <c r="I31" s="2">
        <v>138.46</v>
      </c>
      <c r="J31" s="2"/>
      <c r="K31" s="12"/>
      <c r="L31" s="6"/>
    </row>
    <row r="32" spans="1:12" s="8" customFormat="1" ht="45" customHeight="1" thickBot="1" x14ac:dyDescent="0.3">
      <c r="A32" s="3"/>
      <c r="B32" s="7" t="s">
        <v>7</v>
      </c>
      <c r="C32" s="7" t="s">
        <v>29</v>
      </c>
      <c r="D32" s="2">
        <v>305</v>
      </c>
      <c r="E32" s="7" t="s">
        <v>30</v>
      </c>
      <c r="F32" s="2" t="s">
        <v>59</v>
      </c>
      <c r="G32" s="7" t="s">
        <v>34</v>
      </c>
      <c r="H32" s="4" t="s">
        <v>4</v>
      </c>
      <c r="I32" s="2">
        <v>45.95</v>
      </c>
      <c r="J32" s="2"/>
      <c r="K32" s="12"/>
      <c r="L32" s="6"/>
    </row>
    <row r="33" spans="1:12" s="8" customFormat="1" ht="45" customHeight="1" thickBot="1" x14ac:dyDescent="0.3">
      <c r="A33" s="3"/>
      <c r="B33" s="7" t="s">
        <v>7</v>
      </c>
      <c r="C33" s="4" t="s">
        <v>43</v>
      </c>
      <c r="D33" s="2">
        <v>1704</v>
      </c>
      <c r="E33" s="7" t="s">
        <v>30</v>
      </c>
      <c r="F33" s="2" t="s">
        <v>59</v>
      </c>
      <c r="G33" s="7" t="s">
        <v>32</v>
      </c>
      <c r="H33" s="4" t="s">
        <v>4</v>
      </c>
      <c r="I33" s="2">
        <v>81.819999999999993</v>
      </c>
      <c r="J33" s="2"/>
      <c r="K33" s="12"/>
      <c r="L33" s="6"/>
    </row>
    <row r="34" spans="1:12" s="8" customFormat="1" ht="45" customHeight="1" thickBot="1" x14ac:dyDescent="0.3">
      <c r="A34" s="3"/>
      <c r="B34" s="7" t="s">
        <v>7</v>
      </c>
      <c r="C34" s="4" t="s">
        <v>43</v>
      </c>
      <c r="D34" s="2">
        <v>1705</v>
      </c>
      <c r="E34" s="7" t="s">
        <v>30</v>
      </c>
      <c r="F34" s="2" t="s">
        <v>59</v>
      </c>
      <c r="G34" s="7" t="s">
        <v>32</v>
      </c>
      <c r="H34" s="4" t="s">
        <v>4</v>
      </c>
      <c r="I34" s="2">
        <v>81.819999999999993</v>
      </c>
      <c r="J34" s="2"/>
      <c r="K34" s="12"/>
      <c r="L34" s="6"/>
    </row>
    <row r="35" spans="1:12" s="8" customFormat="1" ht="45" customHeight="1" thickBot="1" x14ac:dyDescent="0.3">
      <c r="A35" s="3"/>
      <c r="B35" s="7" t="s">
        <v>7</v>
      </c>
      <c r="C35" s="4" t="s">
        <v>43</v>
      </c>
      <c r="D35" s="2">
        <v>1706</v>
      </c>
      <c r="E35" s="7" t="s">
        <v>30</v>
      </c>
      <c r="F35" s="2" t="s">
        <v>59</v>
      </c>
      <c r="G35" s="7" t="s">
        <v>32</v>
      </c>
      <c r="H35" s="4" t="s">
        <v>4</v>
      </c>
      <c r="I35" s="2">
        <v>81.5</v>
      </c>
      <c r="J35" s="2"/>
      <c r="K35" s="12"/>
      <c r="L35" s="6"/>
    </row>
    <row r="36" spans="1:12" s="8" customFormat="1" ht="45" customHeight="1" thickBot="1" x14ac:dyDescent="0.3">
      <c r="A36" s="3"/>
      <c r="B36" s="7" t="s">
        <v>7</v>
      </c>
      <c r="C36" s="4" t="s">
        <v>35</v>
      </c>
      <c r="D36" s="2" t="s">
        <v>60</v>
      </c>
      <c r="E36" s="7" t="s">
        <v>30</v>
      </c>
      <c r="F36" s="2" t="s">
        <v>59</v>
      </c>
      <c r="G36" s="7" t="s">
        <v>34</v>
      </c>
      <c r="H36" s="4" t="s">
        <v>4</v>
      </c>
      <c r="I36" s="2">
        <v>210.75</v>
      </c>
      <c r="J36" s="2"/>
      <c r="K36" s="12"/>
      <c r="L36" s="6"/>
    </row>
    <row r="37" spans="1:12" s="8" customFormat="1" ht="45" customHeight="1" thickBot="1" x14ac:dyDescent="0.3">
      <c r="A37" s="3"/>
      <c r="B37" s="7" t="s">
        <v>7</v>
      </c>
      <c r="C37" s="4" t="s">
        <v>35</v>
      </c>
      <c r="D37" s="2" t="s">
        <v>61</v>
      </c>
      <c r="E37" s="7" t="s">
        <v>30</v>
      </c>
      <c r="F37" s="2" t="s">
        <v>59</v>
      </c>
      <c r="G37" s="7" t="s">
        <v>32</v>
      </c>
      <c r="H37" s="4" t="s">
        <v>4</v>
      </c>
      <c r="I37" s="2">
        <v>39.380000000000003</v>
      </c>
      <c r="J37" s="2"/>
      <c r="K37" s="12"/>
      <c r="L37" s="6"/>
    </row>
    <row r="38" spans="1:12" s="8" customFormat="1" ht="45" customHeight="1" thickBot="1" x14ac:dyDescent="0.3">
      <c r="A38" s="3"/>
      <c r="B38" s="7" t="s">
        <v>7</v>
      </c>
      <c r="C38" s="4" t="s">
        <v>14</v>
      </c>
      <c r="D38" s="16" t="s">
        <v>63</v>
      </c>
      <c r="E38" s="7" t="s">
        <v>30</v>
      </c>
      <c r="F38" s="2" t="s">
        <v>62</v>
      </c>
      <c r="G38" s="7" t="s">
        <v>32</v>
      </c>
      <c r="H38" s="4" t="s">
        <v>4</v>
      </c>
      <c r="I38" s="2">
        <v>69.209999999999994</v>
      </c>
      <c r="J38" s="2"/>
      <c r="K38" s="12"/>
      <c r="L38" s="6"/>
    </row>
    <row r="39" spans="1:12" s="8" customFormat="1" ht="45" customHeight="1" thickBot="1" x14ac:dyDescent="0.3">
      <c r="A39" s="3"/>
      <c r="B39" s="7" t="s">
        <v>7</v>
      </c>
      <c r="C39" s="4" t="s">
        <v>15</v>
      </c>
      <c r="D39" s="16" t="s">
        <v>64</v>
      </c>
      <c r="E39" s="7" t="s">
        <v>30</v>
      </c>
      <c r="F39" s="2" t="s">
        <v>62</v>
      </c>
      <c r="G39" s="7" t="s">
        <v>32</v>
      </c>
      <c r="H39" s="4" t="s">
        <v>4</v>
      </c>
      <c r="I39" s="2">
        <v>69.209999999999994</v>
      </c>
      <c r="J39" s="2"/>
      <c r="K39" s="12"/>
      <c r="L39" s="6"/>
    </row>
    <row r="40" spans="1:12" s="8" customFormat="1" ht="45" customHeight="1" thickBot="1" x14ac:dyDescent="0.3">
      <c r="A40" s="3"/>
      <c r="B40" s="7" t="s">
        <v>7</v>
      </c>
      <c r="C40" s="4" t="s">
        <v>43</v>
      </c>
      <c r="D40" s="15" t="s">
        <v>66</v>
      </c>
      <c r="E40" s="7" t="s">
        <v>30</v>
      </c>
      <c r="F40" s="2" t="s">
        <v>62</v>
      </c>
      <c r="G40" s="7" t="s">
        <v>32</v>
      </c>
      <c r="H40" s="4" t="s">
        <v>4</v>
      </c>
      <c r="I40" s="2">
        <v>348.09</v>
      </c>
      <c r="J40" s="2"/>
      <c r="K40" s="12"/>
      <c r="L40" s="6"/>
    </row>
    <row r="41" spans="1:12" ht="45" customHeight="1" thickBot="1" x14ac:dyDescent="0.3">
      <c r="A41" s="3"/>
      <c r="B41" s="7" t="s">
        <v>7</v>
      </c>
      <c r="C41" s="4" t="s">
        <v>43</v>
      </c>
      <c r="D41" s="15" t="s">
        <v>67</v>
      </c>
      <c r="E41" s="7" t="s">
        <v>30</v>
      </c>
      <c r="F41" s="2" t="s">
        <v>62</v>
      </c>
      <c r="G41" s="7" t="s">
        <v>32</v>
      </c>
      <c r="H41" s="4" t="s">
        <v>4</v>
      </c>
      <c r="I41" s="4">
        <v>356.62</v>
      </c>
      <c r="J41" s="4"/>
      <c r="K41" s="11"/>
      <c r="L41" s="5"/>
    </row>
    <row r="42" spans="1:12" ht="45" customHeight="1" thickBot="1" x14ac:dyDescent="0.3">
      <c r="A42" s="3"/>
      <c r="B42" s="7" t="s">
        <v>7</v>
      </c>
      <c r="C42" s="4" t="s">
        <v>43</v>
      </c>
      <c r="D42" s="15" t="s">
        <v>68</v>
      </c>
      <c r="E42" s="7" t="s">
        <v>30</v>
      </c>
      <c r="F42" s="2" t="s">
        <v>62</v>
      </c>
      <c r="G42" s="7" t="s">
        <v>32</v>
      </c>
      <c r="H42" s="4" t="s">
        <v>4</v>
      </c>
      <c r="I42" s="4">
        <v>423.56</v>
      </c>
      <c r="J42" s="4"/>
      <c r="K42" s="11"/>
      <c r="L42" s="5"/>
    </row>
    <row r="43" spans="1:12" s="8" customFormat="1" ht="45" customHeight="1" thickBot="1" x14ac:dyDescent="0.3">
      <c r="A43" s="3"/>
      <c r="B43" s="7" t="s">
        <v>7</v>
      </c>
      <c r="C43" s="4" t="s">
        <v>43</v>
      </c>
      <c r="D43" s="15" t="s">
        <v>36</v>
      </c>
      <c r="E43" s="7" t="s">
        <v>30</v>
      </c>
      <c r="F43" s="2" t="s">
        <v>62</v>
      </c>
      <c r="G43" s="7" t="s">
        <v>32</v>
      </c>
      <c r="H43" s="4" t="s">
        <v>4</v>
      </c>
      <c r="I43" s="2">
        <v>66.23</v>
      </c>
      <c r="J43" s="2"/>
      <c r="K43" s="12"/>
      <c r="L43" s="6"/>
    </row>
    <row r="44" spans="1:12" s="8" customFormat="1" ht="45" customHeight="1" thickBot="1" x14ac:dyDescent="0.3">
      <c r="A44" s="3"/>
      <c r="B44" s="7" t="s">
        <v>7</v>
      </c>
      <c r="C44" s="4" t="s">
        <v>69</v>
      </c>
      <c r="D44" s="15" t="s">
        <v>50</v>
      </c>
      <c r="E44" s="7" t="s">
        <v>30</v>
      </c>
      <c r="F44" s="2" t="s">
        <v>62</v>
      </c>
      <c r="G44" s="7" t="s">
        <v>32</v>
      </c>
      <c r="H44" s="4" t="s">
        <v>4</v>
      </c>
      <c r="I44" s="2">
        <v>191.38</v>
      </c>
      <c r="J44" s="2"/>
      <c r="K44" s="12"/>
      <c r="L44" s="6"/>
    </row>
    <row r="45" spans="1:12" ht="45" customHeight="1" thickBot="1" x14ac:dyDescent="0.3">
      <c r="A45" s="9"/>
      <c r="B45" s="7" t="s">
        <v>7</v>
      </c>
      <c r="C45" s="4" t="s">
        <v>35</v>
      </c>
      <c r="D45" s="15" t="s">
        <v>70</v>
      </c>
      <c r="E45" s="7" t="s">
        <v>30</v>
      </c>
      <c r="F45" s="2" t="s">
        <v>62</v>
      </c>
      <c r="G45" s="7" t="s">
        <v>34</v>
      </c>
      <c r="H45" s="4" t="s">
        <v>4</v>
      </c>
      <c r="I45" s="4">
        <v>238.203</v>
      </c>
      <c r="J45" s="4"/>
      <c r="K45" s="11"/>
      <c r="L45" s="5"/>
    </row>
    <row r="46" spans="1:12" ht="45" customHeight="1" thickBot="1" x14ac:dyDescent="0.3">
      <c r="A46" s="9"/>
      <c r="B46" s="7" t="s">
        <v>7</v>
      </c>
      <c r="C46" s="4" t="s">
        <v>35</v>
      </c>
      <c r="D46" s="15" t="s">
        <v>70</v>
      </c>
      <c r="E46" s="7" t="s">
        <v>30</v>
      </c>
      <c r="F46" s="2" t="s">
        <v>62</v>
      </c>
      <c r="G46" s="7" t="s">
        <v>32</v>
      </c>
      <c r="H46" s="4" t="s">
        <v>4</v>
      </c>
      <c r="I46" s="4">
        <v>117.92</v>
      </c>
      <c r="J46" s="4"/>
      <c r="K46" s="11"/>
      <c r="L46" s="5"/>
    </row>
    <row r="47" spans="1:12" ht="45" customHeight="1" thickBot="1" x14ac:dyDescent="0.3">
      <c r="A47" s="9"/>
      <c r="B47" s="7" t="s">
        <v>7</v>
      </c>
      <c r="C47" s="4" t="s">
        <v>35</v>
      </c>
      <c r="D47" s="15" t="s">
        <v>71</v>
      </c>
      <c r="E47" s="7" t="s">
        <v>30</v>
      </c>
      <c r="F47" s="2" t="s">
        <v>62</v>
      </c>
      <c r="G47" s="7" t="s">
        <v>34</v>
      </c>
      <c r="H47" s="4" t="s">
        <v>4</v>
      </c>
      <c r="I47" s="4">
        <v>233.45</v>
      </c>
      <c r="J47" s="4"/>
      <c r="K47" s="11"/>
      <c r="L47" s="5"/>
    </row>
    <row r="48" spans="1:12" ht="45" customHeight="1" thickBot="1" x14ac:dyDescent="0.3">
      <c r="A48" s="9"/>
      <c r="B48" s="7" t="s">
        <v>7</v>
      </c>
      <c r="C48" s="4" t="s">
        <v>35</v>
      </c>
      <c r="D48" s="15" t="s">
        <v>71</v>
      </c>
      <c r="E48" s="7" t="s">
        <v>30</v>
      </c>
      <c r="F48" s="2" t="s">
        <v>62</v>
      </c>
      <c r="G48" s="7" t="s">
        <v>32</v>
      </c>
      <c r="H48" s="4" t="s">
        <v>4</v>
      </c>
      <c r="I48" s="4">
        <v>117.92</v>
      </c>
      <c r="J48" s="4"/>
      <c r="K48" s="11"/>
      <c r="L48" s="5"/>
    </row>
    <row r="49" spans="1:12" s="8" customFormat="1" ht="45" customHeight="1" thickBot="1" x14ac:dyDescent="0.3">
      <c r="A49" s="3"/>
      <c r="B49" s="7" t="s">
        <v>7</v>
      </c>
      <c r="C49" s="4" t="s">
        <v>35</v>
      </c>
      <c r="D49" s="15" t="s">
        <v>72</v>
      </c>
      <c r="E49" s="7" t="s">
        <v>30</v>
      </c>
      <c r="F49" s="2" t="s">
        <v>62</v>
      </c>
      <c r="G49" s="7" t="s">
        <v>34</v>
      </c>
      <c r="H49" s="4" t="s">
        <v>4</v>
      </c>
      <c r="I49" s="4">
        <v>74.37</v>
      </c>
      <c r="J49" s="2"/>
      <c r="K49" s="12"/>
      <c r="L49" s="6"/>
    </row>
    <row r="50" spans="1:12" ht="45" customHeight="1" thickBot="1" x14ac:dyDescent="0.3">
      <c r="A50" s="9"/>
      <c r="B50" s="7" t="s">
        <v>7</v>
      </c>
      <c r="C50" s="4" t="s">
        <v>35</v>
      </c>
      <c r="D50" s="15" t="s">
        <v>66</v>
      </c>
      <c r="E50" s="7" t="s">
        <v>30</v>
      </c>
      <c r="F50" s="2" t="s">
        <v>62</v>
      </c>
      <c r="G50" s="7" t="s">
        <v>34</v>
      </c>
      <c r="H50" s="4" t="s">
        <v>4</v>
      </c>
      <c r="I50" s="4">
        <v>240.78</v>
      </c>
      <c r="J50" s="4"/>
      <c r="K50" s="11"/>
      <c r="L50" s="5"/>
    </row>
    <row r="51" spans="1:12" ht="45" customHeight="1" thickBot="1" x14ac:dyDescent="0.3">
      <c r="A51" s="9"/>
      <c r="B51" s="7" t="s">
        <v>7</v>
      </c>
      <c r="C51" s="4" t="s">
        <v>35</v>
      </c>
      <c r="D51" s="15" t="s">
        <v>66</v>
      </c>
      <c r="E51" s="7" t="s">
        <v>30</v>
      </c>
      <c r="F51" s="2" t="s">
        <v>62</v>
      </c>
      <c r="G51" s="7" t="s">
        <v>32</v>
      </c>
      <c r="H51" s="4" t="s">
        <v>4</v>
      </c>
      <c r="I51" s="4">
        <v>100.81</v>
      </c>
      <c r="J51" s="4"/>
      <c r="K51" s="11"/>
      <c r="L51" s="5"/>
    </row>
    <row r="52" spans="1:12" ht="45" customHeight="1" thickBot="1" x14ac:dyDescent="0.3">
      <c r="A52" s="9"/>
      <c r="B52" s="7" t="s">
        <v>7</v>
      </c>
      <c r="C52" s="4" t="s">
        <v>35</v>
      </c>
      <c r="D52" s="15" t="s">
        <v>67</v>
      </c>
      <c r="E52" s="7" t="s">
        <v>30</v>
      </c>
      <c r="F52" s="2" t="s">
        <v>62</v>
      </c>
      <c r="G52" s="7" t="s">
        <v>34</v>
      </c>
      <c r="H52" s="4" t="s">
        <v>4</v>
      </c>
      <c r="I52" s="4">
        <v>243.46</v>
      </c>
      <c r="J52" s="4"/>
      <c r="K52" s="11"/>
      <c r="L52" s="5"/>
    </row>
    <row r="53" spans="1:12" ht="45" customHeight="1" thickBot="1" x14ac:dyDescent="0.3">
      <c r="A53" s="9"/>
      <c r="B53" s="7" t="s">
        <v>7</v>
      </c>
      <c r="C53" s="4" t="s">
        <v>35</v>
      </c>
      <c r="D53" s="15" t="s">
        <v>67</v>
      </c>
      <c r="E53" s="7" t="s">
        <v>30</v>
      </c>
      <c r="F53" s="2" t="s">
        <v>62</v>
      </c>
      <c r="G53" s="7" t="s">
        <v>32</v>
      </c>
      <c r="H53" s="4" t="s">
        <v>4</v>
      </c>
      <c r="I53" s="4">
        <v>112.34</v>
      </c>
      <c r="J53" s="4"/>
      <c r="K53" s="11"/>
      <c r="L53" s="5"/>
    </row>
    <row r="54" spans="1:12" s="8" customFormat="1" ht="45" customHeight="1" thickBot="1" x14ac:dyDescent="0.3">
      <c r="A54" s="3"/>
      <c r="B54" s="7" t="s">
        <v>7</v>
      </c>
      <c r="C54" s="4" t="s">
        <v>35</v>
      </c>
      <c r="D54" s="15" t="s">
        <v>68</v>
      </c>
      <c r="E54" s="7" t="s">
        <v>30</v>
      </c>
      <c r="F54" s="2" t="s">
        <v>62</v>
      </c>
      <c r="G54" s="7" t="s">
        <v>34</v>
      </c>
      <c r="H54" s="4" t="s">
        <v>4</v>
      </c>
      <c r="I54" s="2">
        <v>235.18</v>
      </c>
      <c r="J54" s="2"/>
      <c r="K54" s="12"/>
      <c r="L54" s="6"/>
    </row>
    <row r="55" spans="1:12" s="8" customFormat="1" ht="45" customHeight="1" thickBot="1" x14ac:dyDescent="0.3">
      <c r="A55" s="3"/>
      <c r="B55" s="7" t="s">
        <v>7</v>
      </c>
      <c r="C55" s="4" t="s">
        <v>35</v>
      </c>
      <c r="D55" s="15" t="s">
        <v>68</v>
      </c>
      <c r="E55" s="7" t="s">
        <v>30</v>
      </c>
      <c r="F55" s="2" t="s">
        <v>62</v>
      </c>
      <c r="G55" s="7" t="s">
        <v>32</v>
      </c>
      <c r="H55" s="4" t="s">
        <v>4</v>
      </c>
      <c r="I55" s="2">
        <v>117.92</v>
      </c>
      <c r="J55" s="2"/>
      <c r="K55" s="12"/>
      <c r="L55" s="6"/>
    </row>
    <row r="56" spans="1:12" s="8" customFormat="1" ht="45" customHeight="1" thickBot="1" x14ac:dyDescent="0.3">
      <c r="A56" s="3"/>
      <c r="B56" s="7" t="s">
        <v>7</v>
      </c>
      <c r="C56" s="4" t="s">
        <v>35</v>
      </c>
      <c r="D56" s="15" t="s">
        <v>8</v>
      </c>
      <c r="E56" s="7" t="s">
        <v>30</v>
      </c>
      <c r="F56" s="2" t="s">
        <v>62</v>
      </c>
      <c r="G56" s="7" t="s">
        <v>32</v>
      </c>
      <c r="H56" s="4" t="s">
        <v>4</v>
      </c>
      <c r="I56" s="2">
        <v>45.08</v>
      </c>
      <c r="J56" s="2"/>
      <c r="K56" s="12"/>
      <c r="L56" s="6"/>
    </row>
    <row r="57" spans="1:12" s="8" customFormat="1" ht="45" customHeight="1" thickBot="1" x14ac:dyDescent="0.3">
      <c r="A57" s="3"/>
      <c r="B57" s="7" t="s">
        <v>7</v>
      </c>
      <c r="C57" s="4" t="s">
        <v>38</v>
      </c>
      <c r="D57" s="15" t="s">
        <v>74</v>
      </c>
      <c r="E57" s="7" t="s">
        <v>39</v>
      </c>
      <c r="F57" s="2" t="s">
        <v>73</v>
      </c>
      <c r="G57" s="7" t="s">
        <v>32</v>
      </c>
      <c r="H57" s="4" t="s">
        <v>4</v>
      </c>
      <c r="I57" s="2">
        <v>465.38</v>
      </c>
      <c r="J57" s="2"/>
      <c r="K57" s="12"/>
      <c r="L57" s="6"/>
    </row>
    <row r="58" spans="1:12" s="8" customFormat="1" ht="45" customHeight="1" thickBot="1" x14ac:dyDescent="0.3">
      <c r="A58" s="3"/>
      <c r="B58" s="7" t="s">
        <v>7</v>
      </c>
      <c r="C58" s="4" t="s">
        <v>38</v>
      </c>
      <c r="D58" s="15" t="s">
        <v>75</v>
      </c>
      <c r="E58" s="7" t="s">
        <v>39</v>
      </c>
      <c r="F58" s="2" t="s">
        <v>73</v>
      </c>
      <c r="G58" s="7" t="s">
        <v>32</v>
      </c>
      <c r="H58" s="4" t="s">
        <v>4</v>
      </c>
      <c r="I58" s="2">
        <v>465.38</v>
      </c>
      <c r="J58" s="2"/>
      <c r="K58" s="12"/>
      <c r="L58" s="6"/>
    </row>
    <row r="59" spans="1:12" s="8" customFormat="1" ht="45" customHeight="1" thickBot="1" x14ac:dyDescent="0.3">
      <c r="A59" s="3"/>
      <c r="B59" s="7" t="s">
        <v>7</v>
      </c>
      <c r="C59" s="4" t="s">
        <v>43</v>
      </c>
      <c r="D59" s="15" t="s">
        <v>72</v>
      </c>
      <c r="E59" s="7" t="s">
        <v>39</v>
      </c>
      <c r="F59" s="2" t="s">
        <v>73</v>
      </c>
      <c r="G59" s="7" t="s">
        <v>32</v>
      </c>
      <c r="H59" s="4" t="s">
        <v>4</v>
      </c>
      <c r="I59" s="2">
        <v>301.33999999999997</v>
      </c>
      <c r="J59" s="2"/>
      <c r="K59" s="12"/>
      <c r="L59" s="6"/>
    </row>
    <row r="60" spans="1:12" s="8" customFormat="1" ht="45" customHeight="1" thickBot="1" x14ac:dyDescent="0.3">
      <c r="A60" s="3"/>
      <c r="B60" s="7" t="s">
        <v>7</v>
      </c>
      <c r="C60" s="4" t="s">
        <v>43</v>
      </c>
      <c r="D60" s="15" t="s">
        <v>71</v>
      </c>
      <c r="E60" s="7" t="s">
        <v>39</v>
      </c>
      <c r="F60" s="2" t="s">
        <v>73</v>
      </c>
      <c r="G60" s="7" t="s">
        <v>32</v>
      </c>
      <c r="H60" s="4" t="s">
        <v>4</v>
      </c>
      <c r="I60" s="2">
        <v>431.32</v>
      </c>
      <c r="J60" s="2"/>
      <c r="K60" s="12"/>
      <c r="L60" s="6"/>
    </row>
    <row r="61" spans="1:12" s="8" customFormat="1" ht="45" customHeight="1" thickBot="1" x14ac:dyDescent="0.3">
      <c r="A61" s="3"/>
      <c r="B61" s="7" t="s">
        <v>7</v>
      </c>
      <c r="C61" s="4" t="s">
        <v>38</v>
      </c>
      <c r="D61" s="15" t="s">
        <v>74</v>
      </c>
      <c r="E61" s="7" t="s">
        <v>39</v>
      </c>
      <c r="F61" s="2" t="s">
        <v>73</v>
      </c>
      <c r="G61" s="4" t="s">
        <v>34</v>
      </c>
      <c r="H61" s="4" t="s">
        <v>4</v>
      </c>
      <c r="I61" s="2">
        <v>53.55</v>
      </c>
      <c r="J61" s="2"/>
      <c r="K61" s="12"/>
      <c r="L61" s="6"/>
    </row>
    <row r="62" spans="1:12" s="8" customFormat="1" ht="45" customHeight="1" thickBot="1" x14ac:dyDescent="0.3">
      <c r="A62" s="3"/>
      <c r="B62" s="7" t="s">
        <v>7</v>
      </c>
      <c r="C62" s="4" t="s">
        <v>76</v>
      </c>
      <c r="D62" s="15" t="s">
        <v>50</v>
      </c>
      <c r="E62" s="7" t="s">
        <v>39</v>
      </c>
      <c r="F62" s="2" t="s">
        <v>73</v>
      </c>
      <c r="G62" s="7" t="s">
        <v>32</v>
      </c>
      <c r="H62" s="4" t="s">
        <v>4</v>
      </c>
      <c r="I62" s="2">
        <v>72.17</v>
      </c>
      <c r="J62" s="2"/>
      <c r="K62" s="12"/>
      <c r="L62" s="6"/>
    </row>
    <row r="63" spans="1:12" s="8" customFormat="1" ht="45" customHeight="1" thickBot="1" x14ac:dyDescent="0.3">
      <c r="A63" s="3"/>
      <c r="B63" s="7" t="s">
        <v>7</v>
      </c>
      <c r="C63" s="4" t="s">
        <v>78</v>
      </c>
      <c r="D63" s="10" t="s">
        <v>77</v>
      </c>
      <c r="E63" s="7" t="s">
        <v>39</v>
      </c>
      <c r="F63" s="2" t="s">
        <v>73</v>
      </c>
      <c r="G63" s="4" t="s">
        <v>34</v>
      </c>
      <c r="H63" s="4" t="s">
        <v>4</v>
      </c>
      <c r="I63" s="2">
        <v>765.17</v>
      </c>
      <c r="J63" s="2"/>
      <c r="K63" s="12"/>
      <c r="L63" s="6"/>
    </row>
    <row r="64" spans="1:12" s="8" customFormat="1" ht="45" customHeight="1" thickBot="1" x14ac:dyDescent="0.3">
      <c r="A64" s="3"/>
      <c r="B64" s="7" t="s">
        <v>7</v>
      </c>
      <c r="C64" s="2" t="s">
        <v>55</v>
      </c>
      <c r="D64" s="10" t="s">
        <v>85</v>
      </c>
      <c r="E64" s="7" t="s">
        <v>39</v>
      </c>
      <c r="F64" s="2" t="s">
        <v>73</v>
      </c>
      <c r="G64" s="4" t="s">
        <v>34</v>
      </c>
      <c r="H64" s="4" t="s">
        <v>4</v>
      </c>
      <c r="I64" s="2">
        <v>72.72</v>
      </c>
      <c r="J64" s="2"/>
      <c r="K64" s="12"/>
      <c r="L64" s="6"/>
    </row>
    <row r="65" spans="1:12" s="8" customFormat="1" ht="45" customHeight="1" thickBot="1" x14ac:dyDescent="0.3">
      <c r="A65" s="3"/>
      <c r="B65" s="7" t="s">
        <v>7</v>
      </c>
      <c r="C65" s="2" t="s">
        <v>79</v>
      </c>
      <c r="D65" s="15" t="s">
        <v>37</v>
      </c>
      <c r="E65" s="7" t="s">
        <v>39</v>
      </c>
      <c r="F65" s="2" t="s">
        <v>73</v>
      </c>
      <c r="G65" s="7" t="s">
        <v>32</v>
      </c>
      <c r="H65" s="4" t="s">
        <v>4</v>
      </c>
      <c r="I65" s="2">
        <v>136.76</v>
      </c>
      <c r="J65" s="2"/>
      <c r="K65" s="12"/>
      <c r="L65" s="6"/>
    </row>
    <row r="66" spans="1:12" s="8" customFormat="1" ht="57.75" thickBot="1" x14ac:dyDescent="0.3">
      <c r="A66" s="3"/>
      <c r="B66" s="7" t="s">
        <v>7</v>
      </c>
      <c r="C66" s="2" t="s">
        <v>80</v>
      </c>
      <c r="D66" s="14" t="s">
        <v>81</v>
      </c>
      <c r="E66" s="7" t="s">
        <v>39</v>
      </c>
      <c r="F66" s="2" t="s">
        <v>73</v>
      </c>
      <c r="G66" s="7" t="s">
        <v>32</v>
      </c>
      <c r="H66" s="4" t="s">
        <v>4</v>
      </c>
      <c r="I66" s="2">
        <v>268.2</v>
      </c>
      <c r="J66" s="2"/>
      <c r="K66" s="12"/>
      <c r="L66" s="6"/>
    </row>
    <row r="67" spans="1:12" s="8" customFormat="1" ht="57.75" thickBot="1" x14ac:dyDescent="0.3">
      <c r="A67" s="3"/>
      <c r="B67" s="7" t="s">
        <v>7</v>
      </c>
      <c r="C67" s="2" t="s">
        <v>80</v>
      </c>
      <c r="D67" s="14" t="s">
        <v>82</v>
      </c>
      <c r="E67" s="7" t="s">
        <v>39</v>
      </c>
      <c r="F67" s="2" t="s">
        <v>73</v>
      </c>
      <c r="G67" s="7" t="s">
        <v>32</v>
      </c>
      <c r="H67" s="4" t="s">
        <v>4</v>
      </c>
      <c r="I67" s="2">
        <v>120.7</v>
      </c>
      <c r="J67" s="2"/>
      <c r="K67" s="12"/>
      <c r="L67" s="6"/>
    </row>
    <row r="68" spans="1:12" s="8" customFormat="1" ht="45" customHeight="1" thickBot="1" x14ac:dyDescent="0.3">
      <c r="A68" s="3"/>
      <c r="B68" s="7" t="s">
        <v>7</v>
      </c>
      <c r="C68" s="4" t="s">
        <v>20</v>
      </c>
      <c r="D68" s="15" t="s">
        <v>83</v>
      </c>
      <c r="E68" s="7" t="s">
        <v>39</v>
      </c>
      <c r="F68" s="2" t="s">
        <v>84</v>
      </c>
      <c r="G68" s="7" t="s">
        <v>32</v>
      </c>
      <c r="H68" s="4" t="s">
        <v>4</v>
      </c>
      <c r="I68" s="2">
        <v>782.62</v>
      </c>
      <c r="J68" s="2"/>
      <c r="K68" s="12"/>
      <c r="L68" s="6"/>
    </row>
    <row r="69" spans="1:12" s="8" customFormat="1" ht="45" customHeight="1" thickBot="1" x14ac:dyDescent="0.3">
      <c r="A69" s="3"/>
      <c r="B69" s="7" t="s">
        <v>7</v>
      </c>
      <c r="C69" s="4" t="s">
        <v>65</v>
      </c>
      <c r="D69" s="15" t="s">
        <v>70</v>
      </c>
      <c r="E69" s="7" t="s">
        <v>39</v>
      </c>
      <c r="F69" s="2" t="s">
        <v>84</v>
      </c>
      <c r="G69" s="7" t="s">
        <v>32</v>
      </c>
      <c r="H69" s="4" t="s">
        <v>4</v>
      </c>
      <c r="I69" s="2">
        <v>408.35</v>
      </c>
      <c r="J69" s="2"/>
      <c r="K69" s="12"/>
      <c r="L69" s="6"/>
    </row>
    <row r="70" spans="1:12" s="8" customFormat="1" ht="45" customHeight="1" thickBot="1" x14ac:dyDescent="0.3">
      <c r="A70" s="3"/>
      <c r="B70" s="7" t="s">
        <v>7</v>
      </c>
      <c r="C70" s="4" t="s">
        <v>65</v>
      </c>
      <c r="D70" s="15" t="s">
        <v>71</v>
      </c>
      <c r="E70" s="7" t="s">
        <v>39</v>
      </c>
      <c r="F70" s="2" t="s">
        <v>84</v>
      </c>
      <c r="G70" s="7" t="s">
        <v>32</v>
      </c>
      <c r="H70" s="4" t="s">
        <v>4</v>
      </c>
      <c r="I70" s="2">
        <v>414.19</v>
      </c>
      <c r="J70" s="2"/>
      <c r="K70" s="12"/>
      <c r="L70" s="6"/>
    </row>
    <row r="71" spans="1:12" s="8" customFormat="1" ht="45" customHeight="1" thickBot="1" x14ac:dyDescent="0.3">
      <c r="A71" s="3"/>
      <c r="B71" s="7" t="s">
        <v>7</v>
      </c>
      <c r="C71" s="4" t="s">
        <v>65</v>
      </c>
      <c r="D71" s="15" t="s">
        <v>72</v>
      </c>
      <c r="E71" s="7" t="s">
        <v>39</v>
      </c>
      <c r="F71" s="2" t="s">
        <v>84</v>
      </c>
      <c r="G71" s="7" t="s">
        <v>32</v>
      </c>
      <c r="H71" s="4" t="s">
        <v>4</v>
      </c>
      <c r="I71" s="2">
        <v>308.024</v>
      </c>
      <c r="J71" s="2"/>
      <c r="K71" s="12"/>
      <c r="L71" s="6"/>
    </row>
    <row r="72" spans="1:12" s="8" customFormat="1" ht="45" customHeight="1" thickBot="1" x14ac:dyDescent="0.3">
      <c r="A72" s="3"/>
      <c r="B72" s="7" t="s">
        <v>7</v>
      </c>
      <c r="C72" s="4" t="s">
        <v>43</v>
      </c>
      <c r="D72" s="15" t="s">
        <v>70</v>
      </c>
      <c r="E72" s="7" t="s">
        <v>39</v>
      </c>
      <c r="F72" s="2" t="s">
        <v>84</v>
      </c>
      <c r="G72" s="7" t="s">
        <v>32</v>
      </c>
      <c r="H72" s="4" t="s">
        <v>4</v>
      </c>
      <c r="I72" s="2">
        <v>369.04</v>
      </c>
      <c r="J72" s="2"/>
      <c r="K72" s="12"/>
      <c r="L72" s="6"/>
    </row>
    <row r="73" spans="1:12" s="8" customFormat="1" ht="45" customHeight="1" thickBot="1" x14ac:dyDescent="0.3">
      <c r="A73" s="3"/>
      <c r="B73" s="7" t="s">
        <v>7</v>
      </c>
      <c r="C73" s="4" t="s">
        <v>65</v>
      </c>
      <c r="D73" s="15" t="s">
        <v>70</v>
      </c>
      <c r="E73" s="7" t="s">
        <v>39</v>
      </c>
      <c r="F73" s="2" t="s">
        <v>84</v>
      </c>
      <c r="G73" s="7" t="s">
        <v>34</v>
      </c>
      <c r="H73" s="4" t="s">
        <v>4</v>
      </c>
      <c r="I73" s="2">
        <v>67.22</v>
      </c>
      <c r="J73" s="2"/>
      <c r="K73" s="12"/>
      <c r="L73" s="6"/>
    </row>
    <row r="74" spans="1:12" s="8" customFormat="1" ht="45" customHeight="1" thickBot="1" x14ac:dyDescent="0.3">
      <c r="A74" s="3"/>
      <c r="B74" s="7" t="s">
        <v>7</v>
      </c>
      <c r="C74" s="4" t="s">
        <v>65</v>
      </c>
      <c r="D74" s="15" t="s">
        <v>71</v>
      </c>
      <c r="E74" s="7" t="s">
        <v>39</v>
      </c>
      <c r="F74" s="2" t="s">
        <v>84</v>
      </c>
      <c r="G74" s="7" t="s">
        <v>34</v>
      </c>
      <c r="H74" s="4" t="s">
        <v>4</v>
      </c>
      <c r="I74" s="2">
        <v>67.22</v>
      </c>
      <c r="J74" s="2"/>
      <c r="K74" s="12"/>
      <c r="L74" s="6"/>
    </row>
    <row r="75" spans="1:12" s="8" customFormat="1" ht="45" customHeight="1" thickBot="1" x14ac:dyDescent="0.3">
      <c r="A75" s="3"/>
      <c r="B75" s="7" t="s">
        <v>7</v>
      </c>
      <c r="C75" s="4" t="s">
        <v>65</v>
      </c>
      <c r="D75" s="15" t="s">
        <v>72</v>
      </c>
      <c r="E75" s="7" t="s">
        <v>39</v>
      </c>
      <c r="F75" s="2" t="s">
        <v>84</v>
      </c>
      <c r="G75" s="7" t="s">
        <v>34</v>
      </c>
      <c r="H75" s="4" t="s">
        <v>4</v>
      </c>
      <c r="I75" s="2">
        <v>39.9</v>
      </c>
      <c r="J75" s="2"/>
      <c r="K75" s="12"/>
      <c r="L75" s="6"/>
    </row>
    <row r="76" spans="1:12" s="8" customFormat="1" ht="45" customHeight="1" thickBot="1" x14ac:dyDescent="0.3">
      <c r="A76" s="3"/>
      <c r="B76" s="7" t="s">
        <v>7</v>
      </c>
      <c r="C76" s="2" t="s">
        <v>86</v>
      </c>
      <c r="D76" s="10" t="s">
        <v>85</v>
      </c>
      <c r="E76" s="7" t="s">
        <v>39</v>
      </c>
      <c r="F76" s="2" t="s">
        <v>84</v>
      </c>
      <c r="G76" s="7" t="s">
        <v>34</v>
      </c>
      <c r="H76" s="4" t="s">
        <v>4</v>
      </c>
      <c r="I76" s="2">
        <v>132.15</v>
      </c>
      <c r="J76" s="2"/>
      <c r="K76" s="12"/>
      <c r="L76" s="6"/>
    </row>
    <row r="77" spans="1:12" s="8" customFormat="1" ht="45" customHeight="1" thickBot="1" x14ac:dyDescent="0.3">
      <c r="A77" s="3"/>
      <c r="B77" s="7" t="s">
        <v>7</v>
      </c>
      <c r="C77" s="2" t="s">
        <v>79</v>
      </c>
      <c r="D77" s="10" t="s">
        <v>37</v>
      </c>
      <c r="E77" s="7" t="s">
        <v>39</v>
      </c>
      <c r="F77" s="2" t="s">
        <v>84</v>
      </c>
      <c r="G77" s="7" t="s">
        <v>32</v>
      </c>
      <c r="H77" s="4" t="s">
        <v>4</v>
      </c>
      <c r="I77" s="2">
        <v>140.44999999999999</v>
      </c>
      <c r="J77" s="2"/>
      <c r="K77" s="12"/>
      <c r="L77" s="6"/>
    </row>
    <row r="78" spans="1:12" s="8" customFormat="1" ht="57.75" thickBot="1" x14ac:dyDescent="0.3">
      <c r="A78" s="3"/>
      <c r="B78" s="7" t="s">
        <v>7</v>
      </c>
      <c r="C78" s="2" t="s">
        <v>87</v>
      </c>
      <c r="D78" s="14" t="s">
        <v>88</v>
      </c>
      <c r="E78" s="7" t="s">
        <v>39</v>
      </c>
      <c r="F78" s="2" t="s">
        <v>84</v>
      </c>
      <c r="G78" s="7" t="s">
        <v>32</v>
      </c>
      <c r="H78" s="4" t="s">
        <v>4</v>
      </c>
      <c r="I78" s="2">
        <v>226.8</v>
      </c>
      <c r="J78" s="2"/>
      <c r="K78" s="12"/>
      <c r="L78" s="6"/>
    </row>
    <row r="79" spans="1:12" s="8" customFormat="1" ht="57.75" thickBot="1" x14ac:dyDescent="0.3">
      <c r="A79" s="3"/>
      <c r="B79" s="7" t="s">
        <v>7</v>
      </c>
      <c r="C79" s="2" t="s">
        <v>87</v>
      </c>
      <c r="D79" s="14" t="s">
        <v>89</v>
      </c>
      <c r="E79" s="7" t="s">
        <v>39</v>
      </c>
      <c r="F79" s="2" t="s">
        <v>84</v>
      </c>
      <c r="G79" s="7" t="s">
        <v>32</v>
      </c>
      <c r="H79" s="4" t="s">
        <v>4</v>
      </c>
      <c r="I79" s="2">
        <v>63.5</v>
      </c>
      <c r="J79" s="2"/>
      <c r="K79" s="12"/>
      <c r="L79" s="6"/>
    </row>
    <row r="80" spans="1:12" s="8" customFormat="1" ht="45" customHeight="1" thickBot="1" x14ac:dyDescent="0.3">
      <c r="A80" s="3"/>
      <c r="B80" s="7" t="s">
        <v>7</v>
      </c>
      <c r="C80" s="4" t="s">
        <v>20</v>
      </c>
      <c r="D80" s="15" t="s">
        <v>83</v>
      </c>
      <c r="E80" s="7" t="s">
        <v>39</v>
      </c>
      <c r="F80" s="2" t="s">
        <v>84</v>
      </c>
      <c r="G80" s="7" t="s">
        <v>34</v>
      </c>
      <c r="H80" s="4" t="s">
        <v>4</v>
      </c>
      <c r="I80" s="2">
        <v>138.62</v>
      </c>
      <c r="J80" s="2"/>
      <c r="K80" s="12"/>
      <c r="L80" s="6"/>
    </row>
    <row r="81" spans="1:12" s="8" customFormat="1" ht="45" customHeight="1" thickBot="1" x14ac:dyDescent="0.3">
      <c r="A81" s="3"/>
      <c r="B81" s="7" t="s">
        <v>7</v>
      </c>
      <c r="C81" s="4" t="s">
        <v>16</v>
      </c>
      <c r="D81" s="15" t="s">
        <v>90</v>
      </c>
      <c r="E81" s="7" t="s">
        <v>39</v>
      </c>
      <c r="F81" s="2" t="s">
        <v>91</v>
      </c>
      <c r="G81" s="7" t="s">
        <v>32</v>
      </c>
      <c r="H81" s="4" t="s">
        <v>4</v>
      </c>
      <c r="I81" s="2">
        <v>775.36</v>
      </c>
      <c r="J81" s="2"/>
      <c r="K81" s="12"/>
      <c r="L81" s="6"/>
    </row>
    <row r="82" spans="1:12" s="8" customFormat="1" ht="45" customHeight="1" thickBot="1" x14ac:dyDescent="0.3">
      <c r="A82" s="3"/>
      <c r="B82" s="7" t="s">
        <v>7</v>
      </c>
      <c r="C82" s="4" t="s">
        <v>17</v>
      </c>
      <c r="D82" s="15" t="s">
        <v>92</v>
      </c>
      <c r="E82" s="7" t="s">
        <v>39</v>
      </c>
      <c r="F82" s="2" t="s">
        <v>91</v>
      </c>
      <c r="G82" s="7" t="s">
        <v>32</v>
      </c>
      <c r="H82" s="4" t="s">
        <v>4</v>
      </c>
      <c r="I82" s="2">
        <v>775.36</v>
      </c>
      <c r="J82" s="2"/>
      <c r="K82" s="12"/>
      <c r="L82" s="6"/>
    </row>
    <row r="83" spans="1:12" s="8" customFormat="1" ht="45" customHeight="1" thickBot="1" x14ac:dyDescent="0.3">
      <c r="A83" s="3"/>
      <c r="B83" s="7" t="s">
        <v>7</v>
      </c>
      <c r="C83" s="4" t="s">
        <v>17</v>
      </c>
      <c r="D83" s="15" t="s">
        <v>93</v>
      </c>
      <c r="E83" s="7" t="s">
        <v>39</v>
      </c>
      <c r="F83" s="2" t="s">
        <v>91</v>
      </c>
      <c r="G83" s="7" t="s">
        <v>32</v>
      </c>
      <c r="H83" s="4" t="s">
        <v>4</v>
      </c>
      <c r="I83" s="2">
        <v>780.47</v>
      </c>
      <c r="J83" s="2"/>
      <c r="K83" s="12"/>
      <c r="L83" s="6"/>
    </row>
    <row r="84" spans="1:12" s="8" customFormat="1" ht="45" customHeight="1" thickBot="1" x14ac:dyDescent="0.3">
      <c r="A84" s="3"/>
      <c r="B84" s="7" t="s">
        <v>7</v>
      </c>
      <c r="C84" s="4" t="s">
        <v>20</v>
      </c>
      <c r="D84" s="15" t="s">
        <v>94</v>
      </c>
      <c r="E84" s="7" t="s">
        <v>39</v>
      </c>
      <c r="F84" s="2" t="s">
        <v>91</v>
      </c>
      <c r="G84" s="7" t="s">
        <v>32</v>
      </c>
      <c r="H84" s="4" t="s">
        <v>4</v>
      </c>
      <c r="I84" s="2">
        <v>780.47</v>
      </c>
      <c r="J84" s="2"/>
      <c r="K84" s="12"/>
      <c r="L84" s="6"/>
    </row>
    <row r="85" spans="1:12" s="8" customFormat="1" ht="45" customHeight="1" thickBot="1" x14ac:dyDescent="0.3">
      <c r="A85" s="3"/>
      <c r="B85" s="7" t="s">
        <v>7</v>
      </c>
      <c r="C85" s="4" t="s">
        <v>16</v>
      </c>
      <c r="D85" s="15" t="s">
        <v>90</v>
      </c>
      <c r="E85" s="7" t="s">
        <v>39</v>
      </c>
      <c r="F85" s="2" t="s">
        <v>91</v>
      </c>
      <c r="G85" s="2" t="s">
        <v>34</v>
      </c>
      <c r="H85" s="4" t="s">
        <v>4</v>
      </c>
      <c r="I85" s="2">
        <v>127.76</v>
      </c>
      <c r="J85" s="2"/>
      <c r="K85" s="12"/>
      <c r="L85" s="6"/>
    </row>
    <row r="86" spans="1:12" s="8" customFormat="1" ht="45" customHeight="1" thickBot="1" x14ac:dyDescent="0.3">
      <c r="A86" s="3"/>
      <c r="B86" s="7" t="s">
        <v>7</v>
      </c>
      <c r="C86" s="4" t="s">
        <v>17</v>
      </c>
      <c r="D86" s="15" t="s">
        <v>92</v>
      </c>
      <c r="E86" s="7" t="s">
        <v>39</v>
      </c>
      <c r="F86" s="2" t="s">
        <v>91</v>
      </c>
      <c r="G86" s="2" t="s">
        <v>34</v>
      </c>
      <c r="H86" s="4" t="s">
        <v>4</v>
      </c>
      <c r="I86" s="2">
        <v>127.76</v>
      </c>
      <c r="J86" s="2"/>
      <c r="K86" s="12"/>
      <c r="L86" s="6"/>
    </row>
    <row r="87" spans="1:12" s="8" customFormat="1" ht="45" customHeight="1" thickBot="1" x14ac:dyDescent="0.3">
      <c r="A87" s="3"/>
      <c r="B87" s="7" t="s">
        <v>7</v>
      </c>
      <c r="C87" s="4" t="s">
        <v>17</v>
      </c>
      <c r="D87" s="15" t="s">
        <v>93</v>
      </c>
      <c r="E87" s="7" t="s">
        <v>39</v>
      </c>
      <c r="F87" s="2" t="s">
        <v>91</v>
      </c>
      <c r="G87" s="2" t="s">
        <v>34</v>
      </c>
      <c r="H87" s="4" t="s">
        <v>4</v>
      </c>
      <c r="I87" s="2">
        <v>127.76</v>
      </c>
      <c r="J87" s="2"/>
      <c r="K87" s="12"/>
      <c r="L87" s="6"/>
    </row>
    <row r="88" spans="1:12" s="8" customFormat="1" ht="45" customHeight="1" thickBot="1" x14ac:dyDescent="0.3">
      <c r="A88" s="3"/>
      <c r="B88" s="7" t="s">
        <v>7</v>
      </c>
      <c r="C88" s="4" t="s">
        <v>20</v>
      </c>
      <c r="D88" s="15" t="s">
        <v>94</v>
      </c>
      <c r="E88" s="7" t="s">
        <v>39</v>
      </c>
      <c r="F88" s="2" t="s">
        <v>91</v>
      </c>
      <c r="G88" s="2" t="s">
        <v>34</v>
      </c>
      <c r="H88" s="4" t="s">
        <v>4</v>
      </c>
      <c r="I88" s="2">
        <v>127.76</v>
      </c>
      <c r="J88" s="2"/>
      <c r="K88" s="12"/>
      <c r="L88" s="6"/>
    </row>
    <row r="89" spans="1:12" s="8" customFormat="1" ht="45" customHeight="1" thickBot="1" x14ac:dyDescent="0.3">
      <c r="A89" s="3"/>
      <c r="B89" s="7" t="s">
        <v>7</v>
      </c>
      <c r="C89" s="4" t="s">
        <v>95</v>
      </c>
      <c r="D89" s="10" t="s">
        <v>96</v>
      </c>
      <c r="E89" s="7" t="s">
        <v>39</v>
      </c>
      <c r="F89" s="2" t="s">
        <v>91</v>
      </c>
      <c r="G89" s="2" t="s">
        <v>34</v>
      </c>
      <c r="H89" s="4" t="s">
        <v>4</v>
      </c>
      <c r="I89" s="2">
        <v>226.47</v>
      </c>
      <c r="J89" s="2"/>
      <c r="K89" s="12"/>
      <c r="L89" s="6"/>
    </row>
    <row r="90" spans="1:12" s="8" customFormat="1" ht="45" customHeight="1" thickBot="1" x14ac:dyDescent="0.3">
      <c r="A90" s="3"/>
      <c r="B90" s="7" t="s">
        <v>7</v>
      </c>
      <c r="C90" s="4" t="s">
        <v>65</v>
      </c>
      <c r="D90" s="16" t="s">
        <v>97</v>
      </c>
      <c r="E90" s="7" t="s">
        <v>39</v>
      </c>
      <c r="F90" s="2" t="s">
        <v>91</v>
      </c>
      <c r="G90" s="2" t="s">
        <v>34</v>
      </c>
      <c r="H90" s="4" t="s">
        <v>4</v>
      </c>
      <c r="I90" s="2">
        <v>201.09</v>
      </c>
      <c r="J90" s="2"/>
      <c r="K90" s="12"/>
      <c r="L90" s="6"/>
    </row>
    <row r="91" spans="1:12" s="8" customFormat="1" ht="45" customHeight="1" thickBot="1" x14ac:dyDescent="0.3">
      <c r="A91" s="3"/>
      <c r="B91" s="7" t="s">
        <v>7</v>
      </c>
      <c r="C91" s="4" t="s">
        <v>43</v>
      </c>
      <c r="D91" s="16" t="s">
        <v>97</v>
      </c>
      <c r="E91" s="7" t="s">
        <v>39</v>
      </c>
      <c r="F91" s="2" t="s">
        <v>91</v>
      </c>
      <c r="G91" s="2" t="s">
        <v>34</v>
      </c>
      <c r="H91" s="4" t="s">
        <v>4</v>
      </c>
      <c r="I91" s="2">
        <v>111.48</v>
      </c>
      <c r="J91" s="2"/>
      <c r="K91" s="12"/>
      <c r="L91" s="6"/>
    </row>
    <row r="92" spans="1:12" s="8" customFormat="1" ht="45" customHeight="1" thickBot="1" x14ac:dyDescent="0.3">
      <c r="A92" s="3"/>
      <c r="B92" s="7" t="s">
        <v>7</v>
      </c>
      <c r="C92" s="4" t="s">
        <v>65</v>
      </c>
      <c r="D92" s="15" t="s">
        <v>11</v>
      </c>
      <c r="E92" s="7" t="s">
        <v>39</v>
      </c>
      <c r="F92" s="2" t="s">
        <v>91</v>
      </c>
      <c r="G92" s="2" t="s">
        <v>32</v>
      </c>
      <c r="H92" s="4" t="s">
        <v>4</v>
      </c>
      <c r="I92" s="2">
        <v>237.24</v>
      </c>
      <c r="J92" s="2"/>
      <c r="K92" s="12"/>
      <c r="L92" s="6"/>
    </row>
    <row r="93" spans="1:12" s="8" customFormat="1" ht="45" customHeight="1" thickBot="1" x14ac:dyDescent="0.3">
      <c r="A93" s="3"/>
      <c r="B93" s="7" t="s">
        <v>7</v>
      </c>
      <c r="C93" s="4" t="s">
        <v>65</v>
      </c>
      <c r="D93" s="15" t="s">
        <v>11</v>
      </c>
      <c r="E93" s="7" t="s">
        <v>39</v>
      </c>
      <c r="F93" s="2" t="s">
        <v>91</v>
      </c>
      <c r="G93" s="2" t="s">
        <v>32</v>
      </c>
      <c r="H93" s="4" t="s">
        <v>4</v>
      </c>
      <c r="I93" s="2">
        <v>287.27</v>
      </c>
      <c r="J93" s="2"/>
      <c r="K93" s="12"/>
      <c r="L93" s="6"/>
    </row>
    <row r="94" spans="1:12" s="8" customFormat="1" ht="45" customHeight="1" thickBot="1" x14ac:dyDescent="0.3">
      <c r="A94" s="3"/>
      <c r="B94" s="7" t="s">
        <v>7</v>
      </c>
      <c r="C94" s="4" t="s">
        <v>98</v>
      </c>
      <c r="D94" s="16" t="s">
        <v>99</v>
      </c>
      <c r="E94" s="7" t="s">
        <v>39</v>
      </c>
      <c r="F94" s="2" t="s">
        <v>91</v>
      </c>
      <c r="G94" s="2" t="s">
        <v>32</v>
      </c>
      <c r="H94" s="4" t="s">
        <v>4</v>
      </c>
      <c r="I94" s="2">
        <v>344.25</v>
      </c>
      <c r="J94" s="2"/>
      <c r="K94" s="12"/>
      <c r="L94" s="6"/>
    </row>
    <row r="95" spans="1:12" s="8" customFormat="1" ht="45" customHeight="1" thickBot="1" x14ac:dyDescent="0.3">
      <c r="A95" s="3"/>
      <c r="B95" s="7" t="s">
        <v>7</v>
      </c>
      <c r="C95" s="4" t="s">
        <v>100</v>
      </c>
      <c r="D95" s="15" t="s">
        <v>50</v>
      </c>
      <c r="E95" s="7" t="s">
        <v>39</v>
      </c>
      <c r="F95" s="2" t="s">
        <v>91</v>
      </c>
      <c r="G95" s="2" t="s">
        <v>34</v>
      </c>
      <c r="H95" s="4" t="s">
        <v>4</v>
      </c>
      <c r="I95" s="2">
        <v>369.47</v>
      </c>
      <c r="J95" s="2"/>
      <c r="K95" s="12"/>
      <c r="L95" s="6"/>
    </row>
    <row r="96" spans="1:12" s="8" customFormat="1" ht="45" customHeight="1" thickBot="1" x14ac:dyDescent="0.3">
      <c r="A96" s="3"/>
      <c r="B96" s="7" t="s">
        <v>7</v>
      </c>
      <c r="C96" s="4" t="s">
        <v>14</v>
      </c>
      <c r="D96" s="15" t="s">
        <v>101</v>
      </c>
      <c r="E96" s="7" t="s">
        <v>30</v>
      </c>
      <c r="F96" s="2" t="s">
        <v>52</v>
      </c>
      <c r="G96" s="2" t="s">
        <v>32</v>
      </c>
      <c r="H96" s="4" t="s">
        <v>4</v>
      </c>
      <c r="I96" s="2">
        <v>784.65</v>
      </c>
      <c r="J96" s="2"/>
      <c r="K96" s="12"/>
      <c r="L96" s="6"/>
    </row>
    <row r="97" spans="1:12" s="8" customFormat="1" ht="45" customHeight="1" thickBot="1" x14ac:dyDescent="0.3">
      <c r="A97" s="3"/>
      <c r="B97" s="7" t="s">
        <v>7</v>
      </c>
      <c r="C97" s="4" t="s">
        <v>14</v>
      </c>
      <c r="D97" s="15" t="s">
        <v>101</v>
      </c>
      <c r="E97" s="7" t="s">
        <v>30</v>
      </c>
      <c r="F97" s="2" t="s">
        <v>52</v>
      </c>
      <c r="G97" s="2" t="s">
        <v>34</v>
      </c>
      <c r="H97" s="4" t="s">
        <v>4</v>
      </c>
      <c r="I97" s="2">
        <v>146.88</v>
      </c>
      <c r="J97" s="2"/>
      <c r="K97" s="12"/>
      <c r="L97" s="6"/>
    </row>
    <row r="98" spans="1:12" s="8" customFormat="1" ht="45" customHeight="1" thickBot="1" x14ac:dyDescent="0.3">
      <c r="A98" s="3"/>
      <c r="B98" s="7" t="s">
        <v>7</v>
      </c>
      <c r="C98" s="4" t="s">
        <v>15</v>
      </c>
      <c r="D98" s="15" t="s">
        <v>102</v>
      </c>
      <c r="E98" s="7" t="s">
        <v>30</v>
      </c>
      <c r="F98" s="2" t="s">
        <v>52</v>
      </c>
      <c r="G98" s="2" t="s">
        <v>32</v>
      </c>
      <c r="H98" s="4" t="s">
        <v>4</v>
      </c>
      <c r="I98" s="2">
        <v>783.93</v>
      </c>
      <c r="J98" s="2"/>
      <c r="K98" s="12"/>
      <c r="L98" s="6"/>
    </row>
    <row r="99" spans="1:12" s="8" customFormat="1" ht="45" customHeight="1" thickBot="1" x14ac:dyDescent="0.3">
      <c r="A99" s="3"/>
      <c r="B99" s="7" t="s">
        <v>7</v>
      </c>
      <c r="C99" s="4" t="s">
        <v>15</v>
      </c>
      <c r="D99" s="15" t="s">
        <v>102</v>
      </c>
      <c r="E99" s="7" t="s">
        <v>30</v>
      </c>
      <c r="F99" s="2" t="s">
        <v>52</v>
      </c>
      <c r="G99" s="2" t="s">
        <v>34</v>
      </c>
      <c r="H99" s="4" t="s">
        <v>4</v>
      </c>
      <c r="I99" s="2">
        <v>146.88</v>
      </c>
      <c r="J99" s="2"/>
      <c r="K99" s="12"/>
      <c r="L99" s="6"/>
    </row>
    <row r="100" spans="1:12" s="8" customFormat="1" ht="45" customHeight="1" thickBot="1" x14ac:dyDescent="0.3">
      <c r="A100" s="3"/>
      <c r="B100" s="7" t="s">
        <v>7</v>
      </c>
      <c r="C100" s="4" t="s">
        <v>15</v>
      </c>
      <c r="D100" s="15" t="s">
        <v>103</v>
      </c>
      <c r="E100" s="7" t="s">
        <v>30</v>
      </c>
      <c r="F100" s="2" t="s">
        <v>52</v>
      </c>
      <c r="G100" s="2" t="s">
        <v>32</v>
      </c>
      <c r="H100" s="4" t="s">
        <v>4</v>
      </c>
      <c r="I100" s="2">
        <v>787.73</v>
      </c>
      <c r="J100" s="2"/>
      <c r="K100" s="12"/>
      <c r="L100" s="6"/>
    </row>
    <row r="101" spans="1:12" s="8" customFormat="1" ht="45" customHeight="1" thickBot="1" x14ac:dyDescent="0.3">
      <c r="A101" s="3"/>
      <c r="B101" s="7" t="s">
        <v>7</v>
      </c>
      <c r="C101" s="4" t="s">
        <v>15</v>
      </c>
      <c r="D101" s="15" t="s">
        <v>103</v>
      </c>
      <c r="E101" s="7" t="s">
        <v>30</v>
      </c>
      <c r="F101" s="2" t="s">
        <v>52</v>
      </c>
      <c r="G101" s="2" t="s">
        <v>34</v>
      </c>
      <c r="H101" s="4" t="s">
        <v>4</v>
      </c>
      <c r="I101" s="2">
        <v>136.49</v>
      </c>
      <c r="J101" s="2"/>
      <c r="K101" s="12"/>
      <c r="L101" s="6"/>
    </row>
    <row r="102" spans="1:12" s="8" customFormat="1" ht="45" customHeight="1" thickBot="1" x14ac:dyDescent="0.3">
      <c r="A102" s="3"/>
      <c r="B102" s="7" t="s">
        <v>7</v>
      </c>
      <c r="C102" s="4" t="s">
        <v>65</v>
      </c>
      <c r="D102" s="15" t="s">
        <v>66</v>
      </c>
      <c r="E102" s="7" t="s">
        <v>30</v>
      </c>
      <c r="F102" s="2" t="s">
        <v>52</v>
      </c>
      <c r="G102" s="2" t="s">
        <v>32</v>
      </c>
      <c r="H102" s="4" t="s">
        <v>4</v>
      </c>
      <c r="I102" s="2">
        <v>309.11</v>
      </c>
      <c r="J102" s="2"/>
      <c r="K102" s="12"/>
      <c r="L102" s="6"/>
    </row>
    <row r="103" spans="1:12" s="8" customFormat="1" ht="45" customHeight="1" thickBot="1" x14ac:dyDescent="0.3">
      <c r="A103" s="3"/>
      <c r="B103" s="7" t="s">
        <v>7</v>
      </c>
      <c r="C103" s="4" t="s">
        <v>65</v>
      </c>
      <c r="D103" s="15" t="s">
        <v>67</v>
      </c>
      <c r="E103" s="7" t="s">
        <v>30</v>
      </c>
      <c r="F103" s="2" t="s">
        <v>52</v>
      </c>
      <c r="G103" s="2" t="s">
        <v>32</v>
      </c>
      <c r="H103" s="4" t="s">
        <v>4</v>
      </c>
      <c r="I103" s="2">
        <v>308.02</v>
      </c>
      <c r="J103" s="2"/>
      <c r="K103" s="12"/>
      <c r="L103" s="6"/>
    </row>
    <row r="104" spans="1:12" s="8" customFormat="1" ht="45" customHeight="1" thickBot="1" x14ac:dyDescent="0.3">
      <c r="A104" s="3"/>
      <c r="B104" s="7" t="s">
        <v>7</v>
      </c>
      <c r="C104" s="4" t="s">
        <v>65</v>
      </c>
      <c r="D104" s="15" t="s">
        <v>68</v>
      </c>
      <c r="E104" s="7" t="s">
        <v>30</v>
      </c>
      <c r="F104" s="2" t="s">
        <v>52</v>
      </c>
      <c r="G104" s="2" t="s">
        <v>32</v>
      </c>
      <c r="H104" s="4" t="s">
        <v>4</v>
      </c>
      <c r="I104" s="2">
        <v>415.59</v>
      </c>
      <c r="J104" s="2"/>
      <c r="K104" s="12"/>
      <c r="L104" s="6"/>
    </row>
    <row r="105" spans="1:12" s="8" customFormat="1" ht="45" customHeight="1" thickBot="1" x14ac:dyDescent="0.3">
      <c r="A105" s="3"/>
      <c r="B105" s="7" t="s">
        <v>7</v>
      </c>
      <c r="C105" s="4" t="s">
        <v>19</v>
      </c>
      <c r="D105" s="15" t="s">
        <v>104</v>
      </c>
      <c r="E105" s="7" t="s">
        <v>51</v>
      </c>
      <c r="F105" s="2" t="s">
        <v>73</v>
      </c>
      <c r="G105" s="2" t="s">
        <v>32</v>
      </c>
      <c r="H105" s="4" t="s">
        <v>4</v>
      </c>
      <c r="I105" s="2">
        <v>756.89</v>
      </c>
      <c r="J105" s="2"/>
      <c r="K105" s="12"/>
      <c r="L105" s="6"/>
    </row>
    <row r="106" spans="1:12" s="8" customFormat="1" ht="45" customHeight="1" thickBot="1" x14ac:dyDescent="0.3">
      <c r="A106" s="3"/>
      <c r="B106" s="7" t="s">
        <v>7</v>
      </c>
      <c r="C106" s="4" t="s">
        <v>13</v>
      </c>
      <c r="D106" s="15" t="s">
        <v>105</v>
      </c>
      <c r="E106" s="7" t="s">
        <v>51</v>
      </c>
      <c r="F106" s="2" t="s">
        <v>73</v>
      </c>
      <c r="G106" s="2" t="s">
        <v>32</v>
      </c>
      <c r="H106" s="4" t="s">
        <v>4</v>
      </c>
      <c r="I106" s="2">
        <v>58.93</v>
      </c>
      <c r="J106" s="2"/>
      <c r="K106" s="12"/>
      <c r="L106" s="6"/>
    </row>
    <row r="107" spans="1:12" s="8" customFormat="1" ht="45" customHeight="1" thickBot="1" x14ac:dyDescent="0.3">
      <c r="A107" s="3"/>
      <c r="B107" s="7" t="s">
        <v>7</v>
      </c>
      <c r="C107" s="4" t="s">
        <v>19</v>
      </c>
      <c r="D107" s="15" t="s">
        <v>104</v>
      </c>
      <c r="E107" s="7" t="s">
        <v>51</v>
      </c>
      <c r="F107" s="2" t="s">
        <v>73</v>
      </c>
      <c r="G107" s="2" t="s">
        <v>34</v>
      </c>
      <c r="H107" s="4" t="s">
        <v>4</v>
      </c>
      <c r="I107" s="2">
        <v>103.33</v>
      </c>
      <c r="J107" s="2"/>
      <c r="K107" s="12"/>
      <c r="L107" s="6"/>
    </row>
    <row r="108" spans="1:12" s="8" customFormat="1" ht="45" customHeight="1" thickBot="1" x14ac:dyDescent="0.3">
      <c r="A108" s="3"/>
      <c r="B108" s="7" t="s">
        <v>7</v>
      </c>
      <c r="C108" s="4" t="s">
        <v>106</v>
      </c>
      <c r="D108" s="10" t="s">
        <v>56</v>
      </c>
      <c r="E108" s="7" t="s">
        <v>51</v>
      </c>
      <c r="F108" s="2" t="s">
        <v>73</v>
      </c>
      <c r="G108" s="2" t="s">
        <v>34</v>
      </c>
      <c r="H108" s="4" t="s">
        <v>4</v>
      </c>
      <c r="I108" s="2">
        <v>343.47</v>
      </c>
      <c r="J108" s="2"/>
      <c r="K108" s="12"/>
      <c r="L108" s="6"/>
    </row>
    <row r="109" spans="1:12" s="8" customFormat="1" ht="45" customHeight="1" thickBot="1" x14ac:dyDescent="0.3">
      <c r="A109" s="3"/>
      <c r="B109" s="7" t="s">
        <v>7</v>
      </c>
      <c r="C109" s="4" t="s">
        <v>107</v>
      </c>
      <c r="D109" s="10" t="s">
        <v>56</v>
      </c>
      <c r="E109" s="7" t="s">
        <v>51</v>
      </c>
      <c r="F109" s="2" t="s">
        <v>73</v>
      </c>
      <c r="G109" s="2" t="s">
        <v>34</v>
      </c>
      <c r="H109" s="4" t="s">
        <v>4</v>
      </c>
      <c r="I109" s="2">
        <v>202.95</v>
      </c>
      <c r="J109" s="2"/>
      <c r="K109" s="12"/>
      <c r="L109" s="6"/>
    </row>
    <row r="110" spans="1:12" s="8" customFormat="1" ht="45" customHeight="1" thickBot="1" x14ac:dyDescent="0.3">
      <c r="A110" s="3"/>
      <c r="B110" s="7" t="s">
        <v>7</v>
      </c>
      <c r="C110" s="4" t="s">
        <v>108</v>
      </c>
      <c r="D110" s="10" t="s">
        <v>109</v>
      </c>
      <c r="E110" s="7" t="s">
        <v>51</v>
      </c>
      <c r="F110" s="2" t="s">
        <v>73</v>
      </c>
      <c r="G110" s="2" t="s">
        <v>34</v>
      </c>
      <c r="H110" s="4" t="s">
        <v>4</v>
      </c>
      <c r="I110" s="2">
        <v>151.83000000000001</v>
      </c>
      <c r="J110" s="2"/>
      <c r="K110" s="12"/>
      <c r="L110" s="6"/>
    </row>
    <row r="111" spans="1:12" s="8" customFormat="1" ht="45" customHeight="1" thickBot="1" x14ac:dyDescent="0.3">
      <c r="A111" s="3"/>
      <c r="B111" s="7" t="s">
        <v>7</v>
      </c>
      <c r="C111" s="2" t="s">
        <v>29</v>
      </c>
      <c r="D111" s="15" t="s">
        <v>11</v>
      </c>
      <c r="E111" s="2" t="s">
        <v>30</v>
      </c>
      <c r="F111" s="2" t="s">
        <v>110</v>
      </c>
      <c r="G111" s="2" t="s">
        <v>32</v>
      </c>
      <c r="H111" s="4" t="s">
        <v>4</v>
      </c>
      <c r="I111" s="2">
        <v>239.86</v>
      </c>
      <c r="J111" s="2"/>
      <c r="K111" s="12"/>
      <c r="L111" s="6"/>
    </row>
    <row r="112" spans="1:12" s="8" customFormat="1" ht="45" customHeight="1" thickBot="1" x14ac:dyDescent="0.3">
      <c r="A112" s="3"/>
      <c r="B112" s="7" t="s">
        <v>7</v>
      </c>
      <c r="C112" s="2" t="s">
        <v>14</v>
      </c>
      <c r="D112" s="15" t="s">
        <v>111</v>
      </c>
      <c r="E112" s="2" t="s">
        <v>30</v>
      </c>
      <c r="F112" s="2" t="s">
        <v>110</v>
      </c>
      <c r="G112" s="2" t="s">
        <v>32</v>
      </c>
      <c r="H112" s="4" t="s">
        <v>4</v>
      </c>
      <c r="I112" s="2">
        <v>800.91</v>
      </c>
      <c r="J112" s="2"/>
      <c r="K112" s="12"/>
      <c r="L112" s="6"/>
    </row>
    <row r="113" spans="1:12" s="8" customFormat="1" ht="45" customHeight="1" thickBot="1" x14ac:dyDescent="0.3">
      <c r="A113" s="3"/>
      <c r="B113" s="7" t="s">
        <v>7</v>
      </c>
      <c r="C113" s="2" t="s">
        <v>14</v>
      </c>
      <c r="D113" s="15" t="s">
        <v>111</v>
      </c>
      <c r="E113" s="2" t="s">
        <v>30</v>
      </c>
      <c r="F113" s="2" t="s">
        <v>110</v>
      </c>
      <c r="G113" s="2" t="s">
        <v>34</v>
      </c>
      <c r="H113" s="4" t="s">
        <v>4</v>
      </c>
      <c r="I113" s="2">
        <v>136.49</v>
      </c>
      <c r="J113" s="2"/>
      <c r="K113" s="12"/>
      <c r="L113" s="6"/>
    </row>
    <row r="114" spans="1:12" s="8" customFormat="1" ht="45" customHeight="1" thickBot="1" x14ac:dyDescent="0.3">
      <c r="A114" s="3"/>
      <c r="B114" s="7" t="s">
        <v>7</v>
      </c>
      <c r="C114" s="4" t="s">
        <v>112</v>
      </c>
      <c r="D114" s="15" t="s">
        <v>113</v>
      </c>
      <c r="E114" s="2" t="s">
        <v>30</v>
      </c>
      <c r="F114" s="2" t="s">
        <v>110</v>
      </c>
      <c r="G114" s="2" t="s">
        <v>34</v>
      </c>
      <c r="H114" s="4" t="s">
        <v>4</v>
      </c>
      <c r="I114" s="2">
        <f>533.78+109.05</f>
        <v>642.82999999999993</v>
      </c>
      <c r="J114" s="2"/>
      <c r="K114" s="12"/>
      <c r="L114" s="6"/>
    </row>
    <row r="115" spans="1:12" s="8" customFormat="1" ht="45" customHeight="1" thickBot="1" x14ac:dyDescent="0.3">
      <c r="A115" s="3"/>
      <c r="B115" s="7" t="s">
        <v>7</v>
      </c>
      <c r="C115" s="2" t="s">
        <v>20</v>
      </c>
      <c r="D115" s="15" t="s">
        <v>11</v>
      </c>
      <c r="E115" s="7" t="s">
        <v>51</v>
      </c>
      <c r="F115" s="2" t="s">
        <v>84</v>
      </c>
      <c r="G115" s="2" t="s">
        <v>32</v>
      </c>
      <c r="H115" s="4" t="s">
        <v>4</v>
      </c>
      <c r="I115" s="2">
        <v>383.3</v>
      </c>
      <c r="J115" s="2"/>
      <c r="K115" s="12"/>
      <c r="L115" s="6"/>
    </row>
    <row r="116" spans="1:12" s="8" customFormat="1" ht="45" customHeight="1" thickBot="1" x14ac:dyDescent="0.3">
      <c r="A116" s="3"/>
      <c r="B116" s="7" t="s">
        <v>7</v>
      </c>
      <c r="C116" s="2" t="s">
        <v>114</v>
      </c>
      <c r="D116" s="15" t="s">
        <v>36</v>
      </c>
      <c r="E116" s="7" t="s">
        <v>51</v>
      </c>
      <c r="F116" s="2" t="s">
        <v>84</v>
      </c>
      <c r="G116" s="2" t="s">
        <v>32</v>
      </c>
      <c r="H116" s="4" t="s">
        <v>4</v>
      </c>
      <c r="I116" s="2">
        <v>212.846</v>
      </c>
      <c r="J116" s="2"/>
      <c r="K116" s="12"/>
      <c r="L116" s="6"/>
    </row>
    <row r="117" spans="1:12" s="8" customFormat="1" ht="45" customHeight="1" thickBot="1" x14ac:dyDescent="0.3">
      <c r="A117" s="3"/>
      <c r="B117" s="7" t="s">
        <v>7</v>
      </c>
      <c r="C117" s="2" t="s">
        <v>115</v>
      </c>
      <c r="D117" s="15" t="s">
        <v>116</v>
      </c>
      <c r="E117" s="7" t="s">
        <v>51</v>
      </c>
      <c r="F117" s="2" t="s">
        <v>84</v>
      </c>
      <c r="G117" s="2" t="s">
        <v>32</v>
      </c>
      <c r="H117" s="4" t="s">
        <v>4</v>
      </c>
      <c r="I117" s="2">
        <v>143.35</v>
      </c>
      <c r="J117" s="2"/>
      <c r="K117" s="12"/>
      <c r="L117" s="6"/>
    </row>
    <row r="118" spans="1:12" s="8" customFormat="1" ht="45" customHeight="1" thickBot="1" x14ac:dyDescent="0.3">
      <c r="A118" s="3"/>
      <c r="B118" s="7" t="s">
        <v>7</v>
      </c>
      <c r="C118" s="2" t="s">
        <v>13</v>
      </c>
      <c r="D118" s="15" t="s">
        <v>117</v>
      </c>
      <c r="E118" s="7" t="s">
        <v>51</v>
      </c>
      <c r="F118" s="2" t="s">
        <v>84</v>
      </c>
      <c r="G118" s="2" t="s">
        <v>32</v>
      </c>
      <c r="H118" s="4" t="s">
        <v>4</v>
      </c>
      <c r="I118" s="2">
        <v>696.47799999999995</v>
      </c>
      <c r="J118" s="2"/>
      <c r="K118" s="12"/>
      <c r="L118" s="6"/>
    </row>
    <row r="119" spans="1:12" s="8" customFormat="1" ht="45" customHeight="1" thickBot="1" x14ac:dyDescent="0.3">
      <c r="A119" s="3"/>
      <c r="B119" s="7" t="s">
        <v>7</v>
      </c>
      <c r="C119" s="2" t="s">
        <v>13</v>
      </c>
      <c r="D119" s="15" t="s">
        <v>117</v>
      </c>
      <c r="E119" s="7" t="s">
        <v>51</v>
      </c>
      <c r="F119" s="2" t="s">
        <v>84</v>
      </c>
      <c r="G119" s="2" t="s">
        <v>34</v>
      </c>
      <c r="H119" s="4" t="s">
        <v>4</v>
      </c>
      <c r="I119" s="2">
        <v>113.17</v>
      </c>
      <c r="J119" s="2"/>
      <c r="K119" s="12"/>
      <c r="L119" s="6"/>
    </row>
    <row r="120" spans="1:12" s="8" customFormat="1" ht="45" customHeight="1" thickBot="1" x14ac:dyDescent="0.3">
      <c r="A120" s="3"/>
      <c r="B120" s="7" t="s">
        <v>7</v>
      </c>
      <c r="C120" s="2" t="s">
        <v>12</v>
      </c>
      <c r="D120" s="15" t="s">
        <v>118</v>
      </c>
      <c r="E120" s="2" t="s">
        <v>39</v>
      </c>
      <c r="F120" s="2" t="s">
        <v>110</v>
      </c>
      <c r="G120" s="2" t="s">
        <v>32</v>
      </c>
      <c r="H120" s="4" t="s">
        <v>4</v>
      </c>
      <c r="I120" s="2">
        <v>380.47</v>
      </c>
      <c r="J120" s="2"/>
      <c r="K120" s="12"/>
      <c r="L120" s="6"/>
    </row>
    <row r="121" spans="1:12" s="8" customFormat="1" ht="45" customHeight="1" thickBot="1" x14ac:dyDescent="0.3">
      <c r="A121" s="3"/>
      <c r="B121" s="7" t="s">
        <v>7</v>
      </c>
      <c r="C121" s="2" t="s">
        <v>12</v>
      </c>
      <c r="D121" s="15" t="s">
        <v>119</v>
      </c>
      <c r="E121" s="2" t="s">
        <v>39</v>
      </c>
      <c r="F121" s="2" t="s">
        <v>110</v>
      </c>
      <c r="G121" s="2" t="s">
        <v>32</v>
      </c>
      <c r="H121" s="4" t="s">
        <v>4</v>
      </c>
      <c r="I121" s="2">
        <v>343.41</v>
      </c>
      <c r="J121" s="2"/>
      <c r="K121" s="12"/>
      <c r="L121" s="6"/>
    </row>
    <row r="122" spans="1:12" s="8" customFormat="1" ht="45" customHeight="1" thickBot="1" x14ac:dyDescent="0.3">
      <c r="A122" s="3"/>
      <c r="B122" s="7" t="s">
        <v>7</v>
      </c>
      <c r="C122" s="2" t="s">
        <v>16</v>
      </c>
      <c r="D122" s="15" t="s">
        <v>120</v>
      </c>
      <c r="E122" s="2" t="s">
        <v>39</v>
      </c>
      <c r="F122" s="2" t="s">
        <v>110</v>
      </c>
      <c r="G122" s="2" t="s">
        <v>32</v>
      </c>
      <c r="H122" s="4" t="s">
        <v>4</v>
      </c>
      <c r="I122" s="2">
        <v>380.47</v>
      </c>
      <c r="J122" s="2"/>
      <c r="K122" s="12"/>
      <c r="L122" s="6"/>
    </row>
    <row r="123" spans="1:12" s="8" customFormat="1" ht="45" customHeight="1" thickBot="1" x14ac:dyDescent="0.3">
      <c r="A123" s="3"/>
      <c r="B123" s="7" t="s">
        <v>7</v>
      </c>
      <c r="C123" s="2" t="s">
        <v>16</v>
      </c>
      <c r="D123" s="15" t="s">
        <v>121</v>
      </c>
      <c r="E123" s="2" t="s">
        <v>39</v>
      </c>
      <c r="F123" s="2" t="s">
        <v>110</v>
      </c>
      <c r="G123" s="2" t="s">
        <v>32</v>
      </c>
      <c r="H123" s="4" t="s">
        <v>4</v>
      </c>
      <c r="I123" s="2">
        <v>343.41849999999999</v>
      </c>
      <c r="J123" s="2"/>
      <c r="K123" s="12"/>
      <c r="L123" s="6"/>
    </row>
    <row r="124" spans="1:12" s="8" customFormat="1" ht="45" customHeight="1" thickBot="1" x14ac:dyDescent="0.3">
      <c r="A124" s="3"/>
      <c r="B124" s="7" t="s">
        <v>7</v>
      </c>
      <c r="C124" s="2" t="s">
        <v>20</v>
      </c>
      <c r="D124" s="15" t="s">
        <v>122</v>
      </c>
      <c r="E124" s="2" t="s">
        <v>39</v>
      </c>
      <c r="F124" s="2" t="s">
        <v>110</v>
      </c>
      <c r="G124" s="2" t="s">
        <v>32</v>
      </c>
      <c r="H124" s="4" t="s">
        <v>4</v>
      </c>
      <c r="I124" s="2">
        <v>462.25799999999998</v>
      </c>
      <c r="J124" s="2"/>
      <c r="K124" s="12"/>
      <c r="L124" s="6"/>
    </row>
    <row r="125" spans="1:12" s="8" customFormat="1" ht="45" customHeight="1" thickBot="1" x14ac:dyDescent="0.3">
      <c r="A125" s="3"/>
      <c r="B125" s="7" t="s">
        <v>7</v>
      </c>
      <c r="C125" s="2" t="s">
        <v>123</v>
      </c>
      <c r="D125" s="15" t="s">
        <v>124</v>
      </c>
      <c r="E125" s="2" t="s">
        <v>39</v>
      </c>
      <c r="F125" s="2" t="s">
        <v>110</v>
      </c>
      <c r="G125" s="2" t="s">
        <v>32</v>
      </c>
      <c r="H125" s="4" t="s">
        <v>4</v>
      </c>
      <c r="I125" s="2">
        <v>468.64</v>
      </c>
      <c r="J125" s="2"/>
      <c r="K125" s="12"/>
      <c r="L125" s="6"/>
    </row>
    <row r="126" spans="1:12" s="8" customFormat="1" ht="45" customHeight="1" thickBot="1" x14ac:dyDescent="0.3">
      <c r="A126" s="3"/>
      <c r="B126" s="7" t="s">
        <v>7</v>
      </c>
      <c r="C126" s="2" t="s">
        <v>123</v>
      </c>
      <c r="D126" s="15" t="s">
        <v>125</v>
      </c>
      <c r="E126" s="2" t="s">
        <v>39</v>
      </c>
      <c r="F126" s="2" t="s">
        <v>110</v>
      </c>
      <c r="G126" s="2" t="s">
        <v>32</v>
      </c>
      <c r="H126" s="4" t="s">
        <v>4</v>
      </c>
      <c r="I126" s="2">
        <v>344.25</v>
      </c>
      <c r="J126" s="2"/>
      <c r="K126" s="12"/>
      <c r="L126" s="6"/>
    </row>
    <row r="127" spans="1:12" s="8" customFormat="1" ht="45" customHeight="1" thickBot="1" x14ac:dyDescent="0.3">
      <c r="A127" s="3"/>
      <c r="B127" s="7" t="s">
        <v>7</v>
      </c>
      <c r="C127" s="2" t="s">
        <v>127</v>
      </c>
      <c r="D127" s="15" t="s">
        <v>126</v>
      </c>
      <c r="E127" s="2" t="s">
        <v>39</v>
      </c>
      <c r="F127" s="2" t="s">
        <v>110</v>
      </c>
      <c r="G127" s="2" t="s">
        <v>34</v>
      </c>
      <c r="H127" s="4" t="s">
        <v>4</v>
      </c>
      <c r="I127" s="2">
        <v>158.65</v>
      </c>
      <c r="J127" s="2"/>
      <c r="K127" s="12"/>
      <c r="L127" s="6"/>
    </row>
    <row r="128" spans="1:12" s="8" customFormat="1" ht="45" customHeight="1" thickBot="1" x14ac:dyDescent="0.3">
      <c r="A128" s="3"/>
      <c r="B128" s="7" t="s">
        <v>7</v>
      </c>
      <c r="C128" s="2" t="s">
        <v>127</v>
      </c>
      <c r="D128" s="15" t="s">
        <v>128</v>
      </c>
      <c r="E128" s="2" t="s">
        <v>39</v>
      </c>
      <c r="F128" s="2" t="s">
        <v>110</v>
      </c>
      <c r="G128" s="2" t="s">
        <v>34</v>
      </c>
      <c r="H128" s="4" t="s">
        <v>4</v>
      </c>
      <c r="I128" s="2">
        <v>121.42</v>
      </c>
      <c r="J128" s="2"/>
      <c r="K128" s="12"/>
      <c r="L128" s="6"/>
    </row>
    <row r="129" spans="1:12" s="8" customFormat="1" ht="45" customHeight="1" thickBot="1" x14ac:dyDescent="0.3">
      <c r="A129" s="3"/>
      <c r="B129" s="7" t="s">
        <v>7</v>
      </c>
      <c r="C129" s="2" t="s">
        <v>129</v>
      </c>
      <c r="D129" s="10" t="s">
        <v>130</v>
      </c>
      <c r="E129" s="2" t="s">
        <v>39</v>
      </c>
      <c r="F129" s="2" t="s">
        <v>110</v>
      </c>
      <c r="G129" s="2" t="s">
        <v>34</v>
      </c>
      <c r="H129" s="4" t="s">
        <v>4</v>
      </c>
      <c r="I129" s="2">
        <v>127.52</v>
      </c>
      <c r="J129" s="2"/>
      <c r="K129" s="12"/>
      <c r="L129" s="6"/>
    </row>
    <row r="130" spans="1:12" s="8" customFormat="1" ht="45" customHeight="1" thickBot="1" x14ac:dyDescent="0.3">
      <c r="A130" s="3"/>
      <c r="B130" s="7" t="s">
        <v>7</v>
      </c>
      <c r="C130" s="2" t="s">
        <v>129</v>
      </c>
      <c r="D130" s="10" t="s">
        <v>131</v>
      </c>
      <c r="E130" s="2" t="s">
        <v>39</v>
      </c>
      <c r="F130" s="2" t="s">
        <v>110</v>
      </c>
      <c r="G130" s="2" t="s">
        <v>34</v>
      </c>
      <c r="H130" s="4" t="s">
        <v>4</v>
      </c>
      <c r="I130" s="2">
        <v>133.88999999999999</v>
      </c>
      <c r="J130" s="2"/>
      <c r="K130" s="12"/>
      <c r="L130" s="6"/>
    </row>
    <row r="131" spans="1:12" s="8" customFormat="1" ht="45" customHeight="1" thickBot="1" x14ac:dyDescent="0.3">
      <c r="A131" s="3"/>
      <c r="B131" s="7" t="s">
        <v>7</v>
      </c>
      <c r="C131" s="2" t="s">
        <v>132</v>
      </c>
      <c r="D131" s="10" t="s">
        <v>85</v>
      </c>
      <c r="E131" s="2" t="s">
        <v>39</v>
      </c>
      <c r="F131" s="2" t="s">
        <v>110</v>
      </c>
      <c r="G131" s="2" t="s">
        <v>34</v>
      </c>
      <c r="H131" s="4" t="s">
        <v>4</v>
      </c>
      <c r="I131" s="2">
        <v>72.72</v>
      </c>
      <c r="J131" s="2"/>
      <c r="K131" s="12"/>
      <c r="L131" s="6"/>
    </row>
    <row r="132" spans="1:12" s="8" customFormat="1" ht="45" customHeight="1" thickBot="1" x14ac:dyDescent="0.3">
      <c r="A132" s="3"/>
      <c r="B132" s="7" t="s">
        <v>7</v>
      </c>
      <c r="C132" s="2" t="s">
        <v>107</v>
      </c>
      <c r="D132" s="15" t="s">
        <v>133</v>
      </c>
      <c r="E132" s="2" t="s">
        <v>39</v>
      </c>
      <c r="F132" s="2" t="s">
        <v>110</v>
      </c>
      <c r="G132" s="2" t="s">
        <v>34</v>
      </c>
      <c r="H132" s="4" t="s">
        <v>4</v>
      </c>
      <c r="I132" s="2">
        <v>316</v>
      </c>
      <c r="J132" s="2"/>
      <c r="K132" s="12"/>
      <c r="L132" s="6"/>
    </row>
    <row r="133" spans="1:12" s="8" customFormat="1" ht="45" customHeight="1" thickBot="1" x14ac:dyDescent="0.3">
      <c r="A133" s="3"/>
      <c r="B133" s="7" t="s">
        <v>7</v>
      </c>
      <c r="C133" s="2" t="s">
        <v>134</v>
      </c>
      <c r="D133" s="10" t="s">
        <v>56</v>
      </c>
      <c r="E133" s="2" t="s">
        <v>51</v>
      </c>
      <c r="F133" s="2" t="s">
        <v>110</v>
      </c>
      <c r="G133" s="2" t="s">
        <v>34</v>
      </c>
      <c r="H133" s="4" t="s">
        <v>4</v>
      </c>
      <c r="I133" s="2">
        <v>504.03</v>
      </c>
      <c r="J133" s="2"/>
      <c r="K133" s="12"/>
      <c r="L133" s="6"/>
    </row>
    <row r="134" spans="1:12" s="8" customFormat="1" ht="45" customHeight="1" thickBot="1" x14ac:dyDescent="0.3">
      <c r="A134" s="3"/>
      <c r="B134" s="7" t="s">
        <v>7</v>
      </c>
      <c r="C134" s="2" t="s">
        <v>135</v>
      </c>
      <c r="D134" s="15" t="s">
        <v>136</v>
      </c>
      <c r="E134" s="2" t="s">
        <v>51</v>
      </c>
      <c r="F134" s="2" t="s">
        <v>110</v>
      </c>
      <c r="G134" s="2" t="s">
        <v>32</v>
      </c>
      <c r="H134" s="4" t="s">
        <v>4</v>
      </c>
      <c r="I134" s="2">
        <v>349.09</v>
      </c>
      <c r="J134" s="2"/>
      <c r="K134" s="12"/>
      <c r="L134" s="6"/>
    </row>
    <row r="135" spans="1:12" s="8" customFormat="1" ht="45" customHeight="1" thickBot="1" x14ac:dyDescent="0.3">
      <c r="A135" s="3"/>
      <c r="B135" s="7" t="s">
        <v>7</v>
      </c>
      <c r="C135" s="2" t="s">
        <v>137</v>
      </c>
      <c r="D135" s="10" t="s">
        <v>138</v>
      </c>
      <c r="E135" s="2" t="s">
        <v>51</v>
      </c>
      <c r="F135" s="2" t="s">
        <v>110</v>
      </c>
      <c r="G135" s="2" t="s">
        <v>34</v>
      </c>
      <c r="H135" s="4" t="s">
        <v>4</v>
      </c>
      <c r="I135" s="2">
        <v>115.2</v>
      </c>
      <c r="J135" s="2"/>
      <c r="K135" s="12"/>
      <c r="L135" s="6"/>
    </row>
    <row r="136" spans="1:12" s="8" customFormat="1" ht="45" customHeight="1" thickBot="1" x14ac:dyDescent="0.3">
      <c r="A136" s="3"/>
      <c r="B136" s="7" t="s">
        <v>7</v>
      </c>
      <c r="C136" s="2" t="s">
        <v>132</v>
      </c>
      <c r="D136" s="15" t="s">
        <v>36</v>
      </c>
      <c r="E136" s="2" t="s">
        <v>51</v>
      </c>
      <c r="F136" s="2" t="s">
        <v>110</v>
      </c>
      <c r="G136" s="2" t="s">
        <v>32</v>
      </c>
      <c r="H136" s="4" t="s">
        <v>4</v>
      </c>
      <c r="I136" s="2">
        <v>158.88999999999999</v>
      </c>
      <c r="J136" s="2"/>
      <c r="K136" s="12"/>
      <c r="L136" s="6"/>
    </row>
    <row r="137" spans="1:12" s="8" customFormat="1" ht="45" customHeight="1" thickBot="1" x14ac:dyDescent="0.3">
      <c r="A137" s="3"/>
      <c r="B137" s="7" t="s">
        <v>7</v>
      </c>
      <c r="C137" s="2" t="s">
        <v>139</v>
      </c>
      <c r="D137" s="15" t="s">
        <v>50</v>
      </c>
      <c r="E137" s="2" t="s">
        <v>51</v>
      </c>
      <c r="F137" s="2" t="s">
        <v>110</v>
      </c>
      <c r="G137" s="2" t="s">
        <v>32</v>
      </c>
      <c r="H137" s="4" t="s">
        <v>4</v>
      </c>
      <c r="I137" s="2">
        <v>417.64</v>
      </c>
      <c r="J137" s="2"/>
      <c r="K137" s="12"/>
      <c r="L137" s="6"/>
    </row>
    <row r="138" spans="1:12" s="8" customFormat="1" ht="45" customHeight="1" thickBot="1" x14ac:dyDescent="0.3">
      <c r="A138" s="3"/>
      <c r="B138" s="7" t="s">
        <v>7</v>
      </c>
      <c r="C138" s="2" t="s">
        <v>141</v>
      </c>
      <c r="D138" s="15" t="s">
        <v>142</v>
      </c>
      <c r="E138" s="2" t="s">
        <v>30</v>
      </c>
      <c r="F138" s="2" t="s">
        <v>140</v>
      </c>
      <c r="G138" s="2" t="s">
        <v>32</v>
      </c>
      <c r="H138" s="4" t="s">
        <v>4</v>
      </c>
      <c r="I138" s="2">
        <v>69.7</v>
      </c>
      <c r="J138" s="2"/>
      <c r="K138" s="12"/>
      <c r="L138" s="6"/>
    </row>
    <row r="139" spans="1:12" s="8" customFormat="1" ht="45" customHeight="1" thickBot="1" x14ac:dyDescent="0.3">
      <c r="A139" s="3"/>
      <c r="B139" s="7" t="s">
        <v>7</v>
      </c>
      <c r="C139" s="2" t="s">
        <v>141</v>
      </c>
      <c r="D139" s="15" t="s">
        <v>143</v>
      </c>
      <c r="E139" s="2" t="s">
        <v>30</v>
      </c>
      <c r="F139" s="2" t="s">
        <v>140</v>
      </c>
      <c r="G139" s="2" t="s">
        <v>32</v>
      </c>
      <c r="H139" s="4" t="s">
        <v>4</v>
      </c>
      <c r="I139" s="2">
        <v>1034.5</v>
      </c>
      <c r="J139" s="2"/>
      <c r="K139" s="12"/>
      <c r="L139" s="6"/>
    </row>
    <row r="140" spans="1:12" s="8" customFormat="1" ht="45" customHeight="1" thickBot="1" x14ac:dyDescent="0.3">
      <c r="A140" s="3"/>
      <c r="B140" s="7" t="s">
        <v>7</v>
      </c>
      <c r="C140" s="2" t="s">
        <v>144</v>
      </c>
      <c r="D140" s="15" t="s">
        <v>145</v>
      </c>
      <c r="E140" s="2" t="s">
        <v>30</v>
      </c>
      <c r="F140" s="2" t="s">
        <v>140</v>
      </c>
      <c r="G140" s="2" t="s">
        <v>32</v>
      </c>
      <c r="H140" s="4" t="s">
        <v>4</v>
      </c>
      <c r="I140" s="2">
        <v>12.77</v>
      </c>
      <c r="J140" s="2"/>
      <c r="K140" s="12"/>
      <c r="L140" s="6"/>
    </row>
    <row r="141" spans="1:12" s="8" customFormat="1" ht="45" customHeight="1" thickBot="1" x14ac:dyDescent="0.3">
      <c r="A141" s="3"/>
      <c r="B141" s="7" t="s">
        <v>7</v>
      </c>
      <c r="C141" s="2" t="s">
        <v>10</v>
      </c>
      <c r="D141" s="15" t="s">
        <v>146</v>
      </c>
      <c r="E141" s="2" t="s">
        <v>39</v>
      </c>
      <c r="F141" s="2" t="s">
        <v>140</v>
      </c>
      <c r="G141" s="2" t="s">
        <v>32</v>
      </c>
      <c r="H141" s="4" t="s">
        <v>4</v>
      </c>
      <c r="I141" s="2">
        <v>345.43</v>
      </c>
      <c r="J141" s="2"/>
      <c r="K141" s="12"/>
      <c r="L141" s="6"/>
    </row>
    <row r="142" spans="1:12" s="8" customFormat="1" ht="45" customHeight="1" thickBot="1" x14ac:dyDescent="0.3">
      <c r="A142" s="3"/>
      <c r="B142" s="7" t="s">
        <v>7</v>
      </c>
      <c r="C142" s="2" t="s">
        <v>147</v>
      </c>
      <c r="D142" s="15" t="s">
        <v>36</v>
      </c>
      <c r="E142" s="2" t="s">
        <v>39</v>
      </c>
      <c r="F142" s="2" t="s">
        <v>140</v>
      </c>
      <c r="G142" s="2" t="s">
        <v>32</v>
      </c>
      <c r="H142" s="4" t="s">
        <v>4</v>
      </c>
      <c r="I142" s="2">
        <v>43.066000000000003</v>
      </c>
      <c r="J142" s="2"/>
      <c r="K142" s="12"/>
      <c r="L142" s="6"/>
    </row>
    <row r="143" spans="1:12" s="8" customFormat="1" ht="45" customHeight="1" thickBot="1" x14ac:dyDescent="0.3">
      <c r="A143" s="3"/>
      <c r="B143" s="7" t="s">
        <v>7</v>
      </c>
      <c r="C143" s="2" t="s">
        <v>13</v>
      </c>
      <c r="D143" s="15" t="s">
        <v>148</v>
      </c>
      <c r="E143" s="2" t="s">
        <v>39</v>
      </c>
      <c r="F143" s="2" t="s">
        <v>140</v>
      </c>
      <c r="G143" s="2" t="s">
        <v>32</v>
      </c>
      <c r="H143" s="4" t="s">
        <v>4</v>
      </c>
      <c r="I143" s="2">
        <v>345.43</v>
      </c>
      <c r="J143" s="2"/>
      <c r="K143" s="12"/>
      <c r="L143" s="6"/>
    </row>
    <row r="144" spans="1:12" s="8" customFormat="1" ht="45" customHeight="1" thickBot="1" x14ac:dyDescent="0.3">
      <c r="A144" s="3"/>
      <c r="B144" s="7" t="s">
        <v>7</v>
      </c>
      <c r="C144" s="2" t="s">
        <v>144</v>
      </c>
      <c r="D144" s="10" t="s">
        <v>130</v>
      </c>
      <c r="E144" s="2" t="s">
        <v>39</v>
      </c>
      <c r="F144" s="2" t="s">
        <v>140</v>
      </c>
      <c r="G144" s="2" t="s">
        <v>34</v>
      </c>
      <c r="H144" s="4" t="s">
        <v>4</v>
      </c>
      <c r="I144" s="2">
        <v>22.135000000000002</v>
      </c>
      <c r="J144" s="2"/>
      <c r="K144" s="12"/>
      <c r="L144" s="6"/>
    </row>
    <row r="145" spans="1:12" s="8" customFormat="1" ht="45" customHeight="1" thickBot="1" x14ac:dyDescent="0.3">
      <c r="A145" s="3"/>
      <c r="B145" s="7" t="s">
        <v>7</v>
      </c>
      <c r="C145" s="2" t="s">
        <v>132</v>
      </c>
      <c r="D145" s="15" t="s">
        <v>11</v>
      </c>
      <c r="E145" s="2" t="s">
        <v>39</v>
      </c>
      <c r="F145" s="2" t="s">
        <v>140</v>
      </c>
      <c r="G145" s="2" t="s">
        <v>32</v>
      </c>
      <c r="H145" s="4" t="s">
        <v>4</v>
      </c>
      <c r="I145" s="2">
        <v>831.48</v>
      </c>
      <c r="J145" s="2"/>
      <c r="K145" s="12"/>
      <c r="L145" s="6"/>
    </row>
    <row r="146" spans="1:12" s="8" customFormat="1" ht="45" customHeight="1" thickBot="1" x14ac:dyDescent="0.3">
      <c r="A146" s="3"/>
      <c r="B146" s="7" t="s">
        <v>7</v>
      </c>
      <c r="C146" s="2" t="s">
        <v>149</v>
      </c>
      <c r="D146" s="15" t="s">
        <v>50</v>
      </c>
      <c r="E146" s="2" t="s">
        <v>39</v>
      </c>
      <c r="F146" s="2" t="s">
        <v>140</v>
      </c>
      <c r="G146" s="2" t="s">
        <v>34</v>
      </c>
      <c r="H146" s="4" t="s">
        <v>4</v>
      </c>
      <c r="I146" s="2">
        <v>420.036</v>
      </c>
      <c r="J146" s="2"/>
      <c r="K146" s="12"/>
      <c r="L146" s="6"/>
    </row>
    <row r="147" spans="1:12" s="8" customFormat="1" ht="45" customHeight="1" thickBot="1" x14ac:dyDescent="0.3">
      <c r="A147" s="3"/>
      <c r="B147" s="7" t="s">
        <v>7</v>
      </c>
      <c r="C147" s="2" t="s">
        <v>15</v>
      </c>
      <c r="D147" s="15" t="s">
        <v>150</v>
      </c>
      <c r="E147" s="2" t="s">
        <v>39</v>
      </c>
      <c r="F147" s="2" t="s">
        <v>140</v>
      </c>
      <c r="G147" s="2" t="s">
        <v>32</v>
      </c>
      <c r="H147" s="4" t="s">
        <v>4</v>
      </c>
      <c r="I147" s="2">
        <v>465.38</v>
      </c>
      <c r="J147" s="2"/>
      <c r="K147" s="12"/>
      <c r="L147" s="6"/>
    </row>
    <row r="148" spans="1:12" s="8" customFormat="1" ht="45" customHeight="1" thickBot="1" x14ac:dyDescent="0.3">
      <c r="A148" s="3"/>
      <c r="B148" s="7" t="s">
        <v>7</v>
      </c>
      <c r="C148" s="2" t="s">
        <v>15</v>
      </c>
      <c r="D148" s="15" t="s">
        <v>151</v>
      </c>
      <c r="E148" s="2" t="s">
        <v>39</v>
      </c>
      <c r="F148" s="2" t="s">
        <v>140</v>
      </c>
      <c r="G148" s="2" t="s">
        <v>32</v>
      </c>
      <c r="H148" s="4" t="s">
        <v>4</v>
      </c>
      <c r="I148" s="2">
        <v>346.4</v>
      </c>
      <c r="J148" s="2"/>
      <c r="K148" s="12"/>
      <c r="L148" s="6"/>
    </row>
    <row r="149" spans="1:12" s="8" customFormat="1" ht="45" customHeight="1" thickBot="1" x14ac:dyDescent="0.3">
      <c r="A149" s="3"/>
      <c r="B149" s="7" t="s">
        <v>7</v>
      </c>
      <c r="C149" s="2" t="s">
        <v>132</v>
      </c>
      <c r="D149" s="15" t="s">
        <v>152</v>
      </c>
      <c r="E149" s="2" t="s">
        <v>39</v>
      </c>
      <c r="F149" s="2" t="s">
        <v>140</v>
      </c>
      <c r="G149" s="2" t="s">
        <v>32</v>
      </c>
      <c r="H149" s="4" t="s">
        <v>4</v>
      </c>
      <c r="I149" s="2">
        <v>516.37</v>
      </c>
      <c r="J149" s="2"/>
      <c r="K149" s="12"/>
      <c r="L149" s="6"/>
    </row>
    <row r="150" spans="1:12" s="8" customFormat="1" ht="45" customHeight="1" thickBot="1" x14ac:dyDescent="0.3">
      <c r="A150" s="3"/>
      <c r="B150" s="7" t="s">
        <v>7</v>
      </c>
      <c r="C150" s="2" t="s">
        <v>16</v>
      </c>
      <c r="D150" s="15" t="s">
        <v>153</v>
      </c>
      <c r="E150" s="2" t="s">
        <v>39</v>
      </c>
      <c r="F150" s="2" t="s">
        <v>140</v>
      </c>
      <c r="G150" s="2" t="s">
        <v>154</v>
      </c>
      <c r="H150" s="4" t="s">
        <v>4</v>
      </c>
      <c r="I150" s="2">
        <v>462.25</v>
      </c>
      <c r="J150" s="2"/>
      <c r="K150" s="12"/>
      <c r="L150" s="6"/>
    </row>
    <row r="151" spans="1:12" s="8" customFormat="1" ht="45" customHeight="1" thickBot="1" x14ac:dyDescent="0.3">
      <c r="A151" s="3"/>
      <c r="B151" s="7" t="s">
        <v>7</v>
      </c>
      <c r="C151" s="2" t="s">
        <v>16</v>
      </c>
      <c r="D151" s="15" t="s">
        <v>155</v>
      </c>
      <c r="E151" s="2" t="s">
        <v>39</v>
      </c>
      <c r="F151" s="2" t="s">
        <v>140</v>
      </c>
      <c r="G151" s="2" t="s">
        <v>154</v>
      </c>
      <c r="H151" s="4" t="s">
        <v>4</v>
      </c>
      <c r="I151" s="2">
        <v>346.4</v>
      </c>
      <c r="J151" s="2"/>
      <c r="K151" s="12"/>
      <c r="L151" s="6"/>
    </row>
    <row r="152" spans="1:12" s="8" customFormat="1" ht="45" customHeight="1" thickBot="1" x14ac:dyDescent="0.3">
      <c r="A152" s="3"/>
      <c r="B152" s="7" t="s">
        <v>7</v>
      </c>
      <c r="C152" s="2" t="s">
        <v>17</v>
      </c>
      <c r="D152" s="15" t="s">
        <v>156</v>
      </c>
      <c r="E152" s="2" t="s">
        <v>39</v>
      </c>
      <c r="F152" s="2" t="s">
        <v>140</v>
      </c>
      <c r="G152" s="2" t="s">
        <v>154</v>
      </c>
      <c r="H152" s="4" t="s">
        <v>4</v>
      </c>
      <c r="I152" s="2">
        <v>465.38</v>
      </c>
      <c r="J152" s="2"/>
      <c r="K152" s="12"/>
      <c r="L152" s="6"/>
    </row>
    <row r="153" spans="1:12" s="8" customFormat="1" ht="45" customHeight="1" thickBot="1" x14ac:dyDescent="0.3">
      <c r="A153" s="3"/>
      <c r="B153" s="7" t="s">
        <v>7</v>
      </c>
      <c r="C153" s="2" t="s">
        <v>17</v>
      </c>
      <c r="D153" s="15" t="s">
        <v>157</v>
      </c>
      <c r="E153" s="2" t="s">
        <v>39</v>
      </c>
      <c r="F153" s="2" t="s">
        <v>140</v>
      </c>
      <c r="G153" s="2" t="s">
        <v>154</v>
      </c>
      <c r="H153" s="4" t="s">
        <v>4</v>
      </c>
      <c r="I153" s="2">
        <v>346.4</v>
      </c>
      <c r="J153" s="2"/>
      <c r="K153" s="12"/>
      <c r="L153" s="6"/>
    </row>
    <row r="154" spans="1:12" s="8" customFormat="1" ht="45" customHeight="1" thickBot="1" x14ac:dyDescent="0.3">
      <c r="A154" s="3"/>
      <c r="B154" s="7" t="s">
        <v>7</v>
      </c>
      <c r="C154" s="10" t="s">
        <v>158</v>
      </c>
      <c r="D154" s="15" t="s">
        <v>159</v>
      </c>
      <c r="E154" s="2" t="s">
        <v>39</v>
      </c>
      <c r="F154" s="2" t="s">
        <v>140</v>
      </c>
      <c r="G154" s="2" t="s">
        <v>34</v>
      </c>
      <c r="H154" s="4" t="s">
        <v>4</v>
      </c>
      <c r="I154" s="2">
        <v>220.24</v>
      </c>
      <c r="J154" s="2"/>
      <c r="K154" s="12"/>
      <c r="L154" s="6"/>
    </row>
    <row r="155" spans="1:12" s="8" customFormat="1" ht="45" customHeight="1" thickBot="1" x14ac:dyDescent="0.3">
      <c r="A155" s="3"/>
      <c r="B155" s="7" t="s">
        <v>7</v>
      </c>
      <c r="C155" s="10" t="s">
        <v>160</v>
      </c>
      <c r="D155" s="15" t="s">
        <v>161</v>
      </c>
      <c r="E155" s="2" t="s">
        <v>39</v>
      </c>
      <c r="F155" s="2" t="s">
        <v>140</v>
      </c>
      <c r="G155" s="2" t="s">
        <v>34</v>
      </c>
      <c r="H155" s="4" t="s">
        <v>4</v>
      </c>
      <c r="I155" s="2">
        <v>151.185</v>
      </c>
      <c r="J155" s="2"/>
      <c r="K155" s="12"/>
      <c r="L155" s="6"/>
    </row>
    <row r="156" spans="1:12" s="8" customFormat="1" ht="45" customHeight="1" thickBot="1" x14ac:dyDescent="0.3">
      <c r="A156" s="3"/>
      <c r="B156" s="7" t="s">
        <v>7</v>
      </c>
      <c r="C156" s="2" t="s">
        <v>19</v>
      </c>
      <c r="D156" s="15" t="s">
        <v>162</v>
      </c>
      <c r="E156" s="2" t="s">
        <v>39</v>
      </c>
      <c r="F156" s="2" t="s">
        <v>163</v>
      </c>
      <c r="G156" s="2" t="s">
        <v>154</v>
      </c>
      <c r="H156" s="4" t="s">
        <v>4</v>
      </c>
      <c r="I156" s="2">
        <v>465.38</v>
      </c>
      <c r="J156" s="2"/>
      <c r="K156" s="12"/>
      <c r="L156" s="6"/>
    </row>
    <row r="157" spans="1:12" s="8" customFormat="1" ht="45" customHeight="1" thickBot="1" x14ac:dyDescent="0.3">
      <c r="A157" s="3"/>
      <c r="B157" s="7" t="s">
        <v>7</v>
      </c>
      <c r="C157" s="2" t="s">
        <v>19</v>
      </c>
      <c r="D157" s="15" t="s">
        <v>164</v>
      </c>
      <c r="E157" s="2" t="s">
        <v>39</v>
      </c>
      <c r="F157" s="2" t="s">
        <v>163</v>
      </c>
      <c r="G157" s="2" t="s">
        <v>154</v>
      </c>
      <c r="H157" s="4" t="s">
        <v>4</v>
      </c>
      <c r="I157" s="2">
        <v>467.053</v>
      </c>
      <c r="J157" s="2"/>
      <c r="K157" s="12"/>
      <c r="L157" s="6"/>
    </row>
    <row r="158" spans="1:12" s="8" customFormat="1" ht="45" customHeight="1" thickBot="1" x14ac:dyDescent="0.3">
      <c r="A158" s="3"/>
      <c r="B158" s="7" t="s">
        <v>7</v>
      </c>
      <c r="C158" s="2" t="s">
        <v>14</v>
      </c>
      <c r="D158" s="15" t="s">
        <v>165</v>
      </c>
      <c r="E158" s="2" t="s">
        <v>39</v>
      </c>
      <c r="F158" s="2" t="s">
        <v>163</v>
      </c>
      <c r="G158" s="2" t="s">
        <v>154</v>
      </c>
      <c r="H158" s="4" t="s">
        <v>4</v>
      </c>
      <c r="I158" s="2">
        <v>462.25799999999998</v>
      </c>
      <c r="J158" s="2"/>
      <c r="K158" s="12"/>
      <c r="L158" s="6"/>
    </row>
    <row r="159" spans="1:12" s="8" customFormat="1" ht="45" customHeight="1" thickBot="1" x14ac:dyDescent="0.3">
      <c r="A159" s="3"/>
      <c r="B159" s="7" t="s">
        <v>7</v>
      </c>
      <c r="C159" s="2" t="s">
        <v>166</v>
      </c>
      <c r="D159" s="16" t="s">
        <v>168</v>
      </c>
      <c r="E159" s="2" t="s">
        <v>39</v>
      </c>
      <c r="F159" s="2" t="s">
        <v>163</v>
      </c>
      <c r="G159" s="2" t="s">
        <v>34</v>
      </c>
      <c r="H159" s="4" t="s">
        <v>4</v>
      </c>
      <c r="I159" s="2">
        <v>229.54499999999999</v>
      </c>
      <c r="J159" s="2"/>
      <c r="K159" s="12"/>
      <c r="L159" s="6"/>
    </row>
    <row r="160" spans="1:12" s="8" customFormat="1" ht="45" customHeight="1" thickBot="1" x14ac:dyDescent="0.3">
      <c r="A160" s="3"/>
      <c r="B160" s="7" t="s">
        <v>7</v>
      </c>
      <c r="C160" s="2" t="s">
        <v>166</v>
      </c>
      <c r="D160" s="16" t="s">
        <v>167</v>
      </c>
      <c r="E160" s="2" t="s">
        <v>39</v>
      </c>
      <c r="F160" s="2" t="s">
        <v>163</v>
      </c>
      <c r="G160" s="2" t="s">
        <v>34</v>
      </c>
      <c r="H160" s="4" t="s">
        <v>4</v>
      </c>
      <c r="I160" s="2">
        <v>169.5</v>
      </c>
      <c r="J160" s="2"/>
      <c r="K160" s="12"/>
      <c r="L160" s="6"/>
    </row>
    <row r="161" spans="1:12" s="8" customFormat="1" ht="45" customHeight="1" thickBot="1" x14ac:dyDescent="0.3">
      <c r="A161" s="3"/>
      <c r="B161" s="7" t="s">
        <v>7</v>
      </c>
      <c r="C161" s="2" t="s">
        <v>19</v>
      </c>
      <c r="D161" s="15" t="s">
        <v>169</v>
      </c>
      <c r="E161" s="2" t="s">
        <v>39</v>
      </c>
      <c r="F161" s="2" t="s">
        <v>163</v>
      </c>
      <c r="G161" s="2" t="s">
        <v>154</v>
      </c>
      <c r="H161" s="4" t="s">
        <v>4</v>
      </c>
      <c r="I161" s="2">
        <v>346.4</v>
      </c>
      <c r="J161" s="2"/>
      <c r="K161" s="12"/>
      <c r="L161" s="6"/>
    </row>
    <row r="162" spans="1:12" s="8" customFormat="1" ht="45" customHeight="1" thickBot="1" x14ac:dyDescent="0.3">
      <c r="A162" s="3"/>
      <c r="B162" s="7" t="s">
        <v>7</v>
      </c>
      <c r="C162" s="2" t="s">
        <v>14</v>
      </c>
      <c r="D162" s="15" t="s">
        <v>170</v>
      </c>
      <c r="E162" s="2" t="s">
        <v>39</v>
      </c>
      <c r="F162" s="2" t="s">
        <v>163</v>
      </c>
      <c r="G162" s="2" t="s">
        <v>154</v>
      </c>
      <c r="H162" s="4" t="s">
        <v>4</v>
      </c>
      <c r="I162" s="2">
        <v>320.47000000000003</v>
      </c>
      <c r="J162" s="2"/>
      <c r="K162" s="12"/>
      <c r="L162" s="6"/>
    </row>
    <row r="163" spans="1:12" s="8" customFormat="1" ht="45" customHeight="1" thickBot="1" x14ac:dyDescent="0.3">
      <c r="A163" s="3"/>
      <c r="B163" s="7" t="s">
        <v>7</v>
      </c>
      <c r="C163" s="2" t="s">
        <v>19</v>
      </c>
      <c r="D163" s="15" t="s">
        <v>171</v>
      </c>
      <c r="E163" s="2" t="s">
        <v>39</v>
      </c>
      <c r="F163" s="2" t="s">
        <v>163</v>
      </c>
      <c r="G163" s="2" t="s">
        <v>154</v>
      </c>
      <c r="H163" s="4" t="s">
        <v>4</v>
      </c>
      <c r="I163" s="2">
        <v>346.4</v>
      </c>
      <c r="J163" s="2"/>
      <c r="K163" s="12"/>
      <c r="L163" s="6"/>
    </row>
    <row r="164" spans="1:12" s="8" customFormat="1" ht="45" customHeight="1" thickBot="1" x14ac:dyDescent="0.3">
      <c r="A164" s="3"/>
      <c r="B164" s="7" t="s">
        <v>7</v>
      </c>
      <c r="C164" s="2" t="s">
        <v>172</v>
      </c>
      <c r="D164" s="15" t="s">
        <v>11</v>
      </c>
      <c r="E164" s="2" t="s">
        <v>39</v>
      </c>
      <c r="F164" s="2" t="s">
        <v>163</v>
      </c>
      <c r="G164" s="2" t="s">
        <v>32</v>
      </c>
      <c r="H164" s="4" t="s">
        <v>4</v>
      </c>
      <c r="I164" s="2">
        <v>831.48599999999999</v>
      </c>
      <c r="J164" s="2"/>
      <c r="K164" s="12"/>
      <c r="L164" s="6"/>
    </row>
    <row r="165" spans="1:12" s="8" customFormat="1" ht="45" customHeight="1" thickBot="1" x14ac:dyDescent="0.3">
      <c r="A165" s="3"/>
      <c r="B165" s="7" t="s">
        <v>7</v>
      </c>
      <c r="C165" s="2" t="s">
        <v>175</v>
      </c>
      <c r="D165" s="15" t="s">
        <v>173</v>
      </c>
      <c r="E165" s="2" t="s">
        <v>39</v>
      </c>
      <c r="F165" s="2" t="s">
        <v>163</v>
      </c>
      <c r="G165" s="2" t="s">
        <v>34</v>
      </c>
      <c r="H165" s="4" t="s">
        <v>4</v>
      </c>
      <c r="I165" s="2">
        <v>160.465</v>
      </c>
      <c r="J165" s="2"/>
      <c r="K165" s="12"/>
      <c r="L165" s="6"/>
    </row>
    <row r="166" spans="1:12" s="8" customFormat="1" ht="45" customHeight="1" thickBot="1" x14ac:dyDescent="0.3">
      <c r="A166" s="3"/>
      <c r="B166" s="7" t="s">
        <v>7</v>
      </c>
      <c r="C166" s="2" t="s">
        <v>175</v>
      </c>
      <c r="D166" s="15" t="s">
        <v>174</v>
      </c>
      <c r="E166" s="2" t="s">
        <v>39</v>
      </c>
      <c r="F166" s="2" t="s">
        <v>163</v>
      </c>
      <c r="G166" s="2" t="s">
        <v>34</v>
      </c>
      <c r="H166" s="4" t="s">
        <v>4</v>
      </c>
      <c r="I166" s="2">
        <v>151.185</v>
      </c>
      <c r="J166" s="2"/>
      <c r="K166" s="12"/>
      <c r="L166" s="6"/>
    </row>
    <row r="167" spans="1:12" s="8" customFormat="1" ht="45" customHeight="1" thickBot="1" x14ac:dyDescent="0.3">
      <c r="A167" s="3"/>
      <c r="B167" s="7" t="s">
        <v>7</v>
      </c>
      <c r="C167" s="2" t="s">
        <v>176</v>
      </c>
      <c r="D167" s="10" t="s">
        <v>85</v>
      </c>
      <c r="E167" s="2" t="s">
        <v>39</v>
      </c>
      <c r="F167" s="2" t="s">
        <v>163</v>
      </c>
      <c r="G167" s="2" t="s">
        <v>34</v>
      </c>
      <c r="H167" s="4" t="s">
        <v>4</v>
      </c>
      <c r="I167" s="2">
        <v>169.68</v>
      </c>
      <c r="J167" s="2"/>
      <c r="K167" s="12"/>
      <c r="L167" s="6"/>
    </row>
    <row r="168" spans="1:12" s="8" customFormat="1" ht="45" customHeight="1" thickBot="1" x14ac:dyDescent="0.3">
      <c r="A168" s="3"/>
      <c r="B168" s="7" t="s">
        <v>7</v>
      </c>
      <c r="C168" s="2" t="s">
        <v>177</v>
      </c>
      <c r="D168" s="15" t="s">
        <v>178</v>
      </c>
      <c r="E168" s="2" t="s">
        <v>39</v>
      </c>
      <c r="F168" s="2" t="s">
        <v>179</v>
      </c>
      <c r="G168" s="2" t="s">
        <v>32</v>
      </c>
      <c r="H168" s="4" t="s">
        <v>4</v>
      </c>
      <c r="I168" s="2">
        <v>465.3845</v>
      </c>
      <c r="J168" s="2"/>
      <c r="K168" s="12"/>
      <c r="L168" s="6"/>
    </row>
    <row r="169" spans="1:12" s="8" customFormat="1" ht="45" customHeight="1" thickBot="1" x14ac:dyDescent="0.3">
      <c r="A169" s="3"/>
      <c r="B169" s="7" t="s">
        <v>7</v>
      </c>
      <c r="C169" s="2" t="s">
        <v>177</v>
      </c>
      <c r="D169" s="15" t="s">
        <v>180</v>
      </c>
      <c r="E169" s="2" t="s">
        <v>39</v>
      </c>
      <c r="F169" s="2" t="s">
        <v>179</v>
      </c>
      <c r="G169" s="2" t="s">
        <v>32</v>
      </c>
      <c r="H169" s="4" t="s">
        <v>4</v>
      </c>
      <c r="I169" s="2">
        <v>467.053</v>
      </c>
      <c r="J169" s="2"/>
      <c r="K169" s="12"/>
      <c r="L169" s="6"/>
    </row>
    <row r="170" spans="1:12" s="8" customFormat="1" ht="45" customHeight="1" thickBot="1" x14ac:dyDescent="0.3">
      <c r="A170" s="3"/>
      <c r="B170" s="7" t="s">
        <v>7</v>
      </c>
      <c r="C170" s="2" t="s">
        <v>177</v>
      </c>
      <c r="D170" s="15" t="s">
        <v>181</v>
      </c>
      <c r="E170" s="2" t="s">
        <v>39</v>
      </c>
      <c r="F170" s="2" t="s">
        <v>179</v>
      </c>
      <c r="G170" s="2" t="s">
        <v>32</v>
      </c>
      <c r="H170" s="4" t="s">
        <v>4</v>
      </c>
      <c r="I170" s="2">
        <v>346.43200000000002</v>
      </c>
      <c r="J170" s="2"/>
      <c r="K170" s="12"/>
      <c r="L170" s="6"/>
    </row>
    <row r="171" spans="1:12" s="8" customFormat="1" ht="45" customHeight="1" thickBot="1" x14ac:dyDescent="0.3">
      <c r="A171" s="3"/>
      <c r="B171" s="7" t="s">
        <v>7</v>
      </c>
      <c r="C171" s="2" t="s">
        <v>177</v>
      </c>
      <c r="D171" s="15" t="s">
        <v>182</v>
      </c>
      <c r="E171" s="2" t="s">
        <v>39</v>
      </c>
      <c r="F171" s="2" t="s">
        <v>179</v>
      </c>
      <c r="G171" s="2" t="s">
        <v>32</v>
      </c>
      <c r="H171" s="4" t="s">
        <v>4</v>
      </c>
      <c r="I171" s="2">
        <v>346.43200000000002</v>
      </c>
      <c r="J171" s="2"/>
      <c r="K171" s="12"/>
      <c r="L171" s="6"/>
    </row>
    <row r="172" spans="1:12" s="8" customFormat="1" ht="45" customHeight="1" thickBot="1" x14ac:dyDescent="0.3">
      <c r="A172" s="3"/>
      <c r="B172" s="7" t="s">
        <v>7</v>
      </c>
      <c r="C172" s="2" t="s">
        <v>177</v>
      </c>
      <c r="D172" s="15" t="s">
        <v>183</v>
      </c>
      <c r="E172" s="2" t="s">
        <v>39</v>
      </c>
      <c r="F172" s="2" t="s">
        <v>179</v>
      </c>
      <c r="G172" s="2" t="s">
        <v>32</v>
      </c>
      <c r="H172" s="4" t="s">
        <v>4</v>
      </c>
      <c r="I172" s="2">
        <v>465.3845</v>
      </c>
      <c r="J172" s="2"/>
      <c r="K172" s="12"/>
      <c r="L172" s="6"/>
    </row>
    <row r="173" spans="1:12" s="8" customFormat="1" ht="45" customHeight="1" thickBot="1" x14ac:dyDescent="0.3">
      <c r="A173" s="3"/>
      <c r="B173" s="7" t="s">
        <v>7</v>
      </c>
      <c r="C173" s="2" t="s">
        <v>10</v>
      </c>
      <c r="D173" s="15" t="s">
        <v>184</v>
      </c>
      <c r="E173" s="2" t="s">
        <v>39</v>
      </c>
      <c r="F173" s="2" t="s">
        <v>179</v>
      </c>
      <c r="G173" s="2" t="s">
        <v>32</v>
      </c>
      <c r="H173" s="4" t="s">
        <v>4</v>
      </c>
      <c r="I173" s="2">
        <v>346.43200000000002</v>
      </c>
      <c r="J173" s="2"/>
      <c r="K173" s="12"/>
      <c r="L173" s="6"/>
    </row>
    <row r="174" spans="1:12" s="8" customFormat="1" ht="45" customHeight="1" thickBot="1" x14ac:dyDescent="0.3">
      <c r="A174" s="3"/>
      <c r="B174" s="7" t="s">
        <v>7</v>
      </c>
      <c r="C174" s="2" t="s">
        <v>10</v>
      </c>
      <c r="D174" s="15" t="s">
        <v>185</v>
      </c>
      <c r="E174" s="2" t="s">
        <v>39</v>
      </c>
      <c r="F174" s="2" t="s">
        <v>179</v>
      </c>
      <c r="G174" s="2" t="s">
        <v>32</v>
      </c>
      <c r="H174" s="4" t="s">
        <v>4</v>
      </c>
      <c r="I174" s="2">
        <v>462.25799999999998</v>
      </c>
      <c r="J174" s="2"/>
      <c r="K174" s="12"/>
      <c r="L174" s="6"/>
    </row>
    <row r="175" spans="1:12" s="8" customFormat="1" ht="45" customHeight="1" thickBot="1" x14ac:dyDescent="0.3">
      <c r="A175" s="3"/>
      <c r="B175" s="7" t="s">
        <v>7</v>
      </c>
      <c r="C175" s="2" t="s">
        <v>186</v>
      </c>
      <c r="D175" s="16" t="s">
        <v>187</v>
      </c>
      <c r="E175" s="2" t="s">
        <v>39</v>
      </c>
      <c r="F175" s="2" t="s">
        <v>179</v>
      </c>
      <c r="G175" s="2" t="s">
        <v>34</v>
      </c>
      <c r="H175" s="4" t="s">
        <v>4</v>
      </c>
      <c r="I175" s="2">
        <v>204.04</v>
      </c>
      <c r="J175" s="2"/>
      <c r="K175" s="12"/>
      <c r="L175" s="6"/>
    </row>
    <row r="176" spans="1:12" s="8" customFormat="1" ht="45" customHeight="1" thickBot="1" x14ac:dyDescent="0.3">
      <c r="A176" s="3"/>
      <c r="B176" s="7" t="s">
        <v>7</v>
      </c>
      <c r="C176" s="2" t="s">
        <v>186</v>
      </c>
      <c r="D176" s="16" t="s">
        <v>188</v>
      </c>
      <c r="E176" s="2" t="s">
        <v>39</v>
      </c>
      <c r="F176" s="2" t="s">
        <v>179</v>
      </c>
      <c r="G176" s="2" t="s">
        <v>34</v>
      </c>
      <c r="H176" s="4" t="s">
        <v>4</v>
      </c>
      <c r="I176" s="2">
        <v>135.6</v>
      </c>
      <c r="J176" s="2"/>
      <c r="K176" s="12"/>
      <c r="L176" s="6"/>
    </row>
    <row r="177" spans="1:12" s="8" customFormat="1" ht="45" customHeight="1" thickBot="1" x14ac:dyDescent="0.3">
      <c r="A177" s="3"/>
      <c r="B177" s="7" t="s">
        <v>7</v>
      </c>
      <c r="C177" s="2" t="s">
        <v>13</v>
      </c>
      <c r="D177" s="15" t="s">
        <v>189</v>
      </c>
      <c r="E177" s="2" t="s">
        <v>39</v>
      </c>
      <c r="F177" s="2" t="s">
        <v>179</v>
      </c>
      <c r="G177" s="2" t="s">
        <v>32</v>
      </c>
      <c r="H177" s="4" t="s">
        <v>4</v>
      </c>
      <c r="I177" s="2">
        <v>462.25799999999998</v>
      </c>
      <c r="J177" s="2"/>
      <c r="K177" s="12"/>
      <c r="L177" s="6"/>
    </row>
    <row r="178" spans="1:12" s="8" customFormat="1" ht="45" customHeight="1" thickBot="1" x14ac:dyDescent="0.3">
      <c r="A178" s="3"/>
      <c r="B178" s="7" t="s">
        <v>7</v>
      </c>
      <c r="C178" s="2" t="s">
        <v>13</v>
      </c>
      <c r="D178" s="15" t="s">
        <v>190</v>
      </c>
      <c r="E178" s="2" t="s">
        <v>39</v>
      </c>
      <c r="F178" s="2" t="s">
        <v>179</v>
      </c>
      <c r="G178" s="2" t="s">
        <v>32</v>
      </c>
      <c r="H178" s="4" t="s">
        <v>4</v>
      </c>
      <c r="I178" s="2">
        <v>467.053</v>
      </c>
      <c r="J178" s="2"/>
      <c r="K178" s="12"/>
      <c r="L178" s="6"/>
    </row>
    <row r="179" spans="1:12" s="8" customFormat="1" ht="45" customHeight="1" thickBot="1" x14ac:dyDescent="0.3">
      <c r="A179" s="3"/>
      <c r="B179" s="7" t="s">
        <v>7</v>
      </c>
      <c r="C179" s="2" t="s">
        <v>13</v>
      </c>
      <c r="D179" s="15" t="s">
        <v>191</v>
      </c>
      <c r="E179" s="2" t="s">
        <v>39</v>
      </c>
      <c r="F179" s="2" t="s">
        <v>179</v>
      </c>
      <c r="G179" s="2" t="s">
        <v>32</v>
      </c>
      <c r="H179" s="4" t="s">
        <v>4</v>
      </c>
      <c r="I179" s="2">
        <v>346.4</v>
      </c>
      <c r="J179" s="2"/>
      <c r="K179" s="12"/>
      <c r="L179" s="6"/>
    </row>
    <row r="180" spans="1:12" s="8" customFormat="1" ht="45" customHeight="1" thickBot="1" x14ac:dyDescent="0.3">
      <c r="A180" s="3"/>
      <c r="B180" s="7" t="s">
        <v>7</v>
      </c>
      <c r="C180" s="2" t="s">
        <v>193</v>
      </c>
      <c r="D180" s="15" t="s">
        <v>192</v>
      </c>
      <c r="E180" s="2" t="s">
        <v>39</v>
      </c>
      <c r="F180" s="2" t="s">
        <v>179</v>
      </c>
      <c r="G180" s="2" t="s">
        <v>34</v>
      </c>
      <c r="H180" s="4" t="s">
        <v>4</v>
      </c>
      <c r="I180" s="2">
        <v>341.14</v>
      </c>
      <c r="J180" s="2"/>
      <c r="K180" s="12"/>
      <c r="L180" s="6"/>
    </row>
    <row r="181" spans="1:12" s="8" customFormat="1" ht="45" customHeight="1" thickBot="1" x14ac:dyDescent="0.3">
      <c r="A181" s="3"/>
      <c r="B181" s="7" t="s">
        <v>7</v>
      </c>
      <c r="C181" s="2" t="s">
        <v>195</v>
      </c>
      <c r="D181" s="15" t="s">
        <v>194</v>
      </c>
      <c r="E181" s="2" t="s">
        <v>39</v>
      </c>
      <c r="F181" s="2" t="s">
        <v>179</v>
      </c>
      <c r="G181" s="2" t="s">
        <v>34</v>
      </c>
      <c r="H181" s="4" t="s">
        <v>4</v>
      </c>
      <c r="I181" s="2">
        <v>211.48</v>
      </c>
      <c r="J181" s="2"/>
      <c r="K181" s="12"/>
      <c r="L181" s="6"/>
    </row>
    <row r="182" spans="1:12" s="8" customFormat="1" ht="45" customHeight="1" thickBot="1" x14ac:dyDescent="0.3">
      <c r="A182" s="3"/>
      <c r="B182" s="7" t="s">
        <v>7</v>
      </c>
      <c r="C182" s="2" t="s">
        <v>196</v>
      </c>
      <c r="D182" s="15" t="s">
        <v>197</v>
      </c>
      <c r="E182" s="2" t="s">
        <v>39</v>
      </c>
      <c r="F182" s="2" t="s">
        <v>198</v>
      </c>
      <c r="G182" s="2" t="s">
        <v>32</v>
      </c>
      <c r="H182" s="4" t="s">
        <v>4</v>
      </c>
      <c r="I182" s="2">
        <v>465.9</v>
      </c>
      <c r="J182" s="2"/>
      <c r="K182" s="12"/>
      <c r="L182" s="6"/>
    </row>
    <row r="183" spans="1:12" s="8" customFormat="1" ht="45" customHeight="1" thickBot="1" x14ac:dyDescent="0.3">
      <c r="A183" s="3"/>
      <c r="B183" s="7" t="s">
        <v>7</v>
      </c>
      <c r="C183" s="2" t="s">
        <v>12</v>
      </c>
      <c r="D183" s="15" t="s">
        <v>199</v>
      </c>
      <c r="E183" s="2" t="s">
        <v>39</v>
      </c>
      <c r="F183" s="2" t="s">
        <v>198</v>
      </c>
      <c r="G183" s="2" t="s">
        <v>32</v>
      </c>
      <c r="H183" s="4" t="s">
        <v>4</v>
      </c>
      <c r="I183" s="2">
        <v>465.02</v>
      </c>
      <c r="J183" s="2"/>
      <c r="K183" s="12"/>
      <c r="L183" s="6"/>
    </row>
    <row r="184" spans="1:12" s="8" customFormat="1" ht="45" customHeight="1" thickBot="1" x14ac:dyDescent="0.3">
      <c r="A184" s="3"/>
      <c r="B184" s="7" t="s">
        <v>7</v>
      </c>
      <c r="C184" s="2" t="s">
        <v>12</v>
      </c>
      <c r="D184" s="15" t="s">
        <v>200</v>
      </c>
      <c r="E184" s="2" t="s">
        <v>39</v>
      </c>
      <c r="F184" s="2" t="s">
        <v>198</v>
      </c>
      <c r="G184" s="2" t="s">
        <v>32</v>
      </c>
      <c r="H184" s="4" t="s">
        <v>4</v>
      </c>
      <c r="I184" s="2">
        <v>471.74</v>
      </c>
      <c r="J184" s="2"/>
      <c r="K184" s="12"/>
      <c r="L184" s="6"/>
    </row>
    <row r="185" spans="1:12" s="8" customFormat="1" ht="45" customHeight="1" thickBot="1" x14ac:dyDescent="0.3">
      <c r="A185" s="3"/>
      <c r="B185" s="7" t="s">
        <v>7</v>
      </c>
      <c r="C185" s="2" t="s">
        <v>196</v>
      </c>
      <c r="D185" s="15" t="s">
        <v>201</v>
      </c>
      <c r="E185" s="2" t="s">
        <v>39</v>
      </c>
      <c r="F185" s="2" t="s">
        <v>198</v>
      </c>
      <c r="G185" s="2" t="s">
        <v>32</v>
      </c>
      <c r="H185" s="4" t="s">
        <v>4</v>
      </c>
      <c r="I185" s="2">
        <v>345.37</v>
      </c>
      <c r="J185" s="2"/>
      <c r="K185" s="12"/>
      <c r="L185" s="6"/>
    </row>
    <row r="186" spans="1:12" s="8" customFormat="1" ht="45" customHeight="1" thickBot="1" x14ac:dyDescent="0.3">
      <c r="A186" s="3"/>
      <c r="B186" s="7" t="s">
        <v>7</v>
      </c>
      <c r="C186" s="2" t="s">
        <v>12</v>
      </c>
      <c r="D186" s="15" t="s">
        <v>202</v>
      </c>
      <c r="E186" s="2" t="s">
        <v>39</v>
      </c>
      <c r="F186" s="2" t="s">
        <v>198</v>
      </c>
      <c r="G186" s="2" t="s">
        <v>32</v>
      </c>
      <c r="H186" s="4" t="s">
        <v>4</v>
      </c>
      <c r="I186" s="2">
        <v>345.37</v>
      </c>
      <c r="J186" s="2"/>
      <c r="K186" s="12"/>
      <c r="L186" s="6"/>
    </row>
    <row r="187" spans="1:12" s="8" customFormat="1" ht="45" customHeight="1" thickBot="1" x14ac:dyDescent="0.3">
      <c r="A187" s="3"/>
      <c r="B187" s="7" t="s">
        <v>7</v>
      </c>
      <c r="C187" s="2" t="s">
        <v>12</v>
      </c>
      <c r="D187" s="15" t="s">
        <v>203</v>
      </c>
      <c r="E187" s="2" t="s">
        <v>39</v>
      </c>
      <c r="F187" s="2" t="s">
        <v>198</v>
      </c>
      <c r="G187" s="2" t="s">
        <v>32</v>
      </c>
      <c r="H187" s="4" t="s">
        <v>4</v>
      </c>
      <c r="I187" s="2">
        <v>345.37</v>
      </c>
      <c r="J187" s="2"/>
      <c r="K187" s="12"/>
      <c r="L187" s="6"/>
    </row>
    <row r="188" spans="1:12" s="8" customFormat="1" ht="45" customHeight="1" thickBot="1" x14ac:dyDescent="0.3">
      <c r="A188" s="3"/>
      <c r="B188" s="7" t="s">
        <v>7</v>
      </c>
      <c r="C188" s="2" t="s">
        <v>204</v>
      </c>
      <c r="D188" s="15" t="s">
        <v>11</v>
      </c>
      <c r="E188" s="2" t="s">
        <v>39</v>
      </c>
      <c r="F188" s="2" t="s">
        <v>198</v>
      </c>
      <c r="G188" s="2" t="s">
        <v>32</v>
      </c>
      <c r="H188" s="4" t="s">
        <v>4</v>
      </c>
      <c r="I188" s="2">
        <v>554.32000000000005</v>
      </c>
      <c r="J188" s="2"/>
      <c r="K188" s="12"/>
      <c r="L188" s="6"/>
    </row>
    <row r="189" spans="1:12" s="8" customFormat="1" ht="45" customHeight="1" thickBot="1" x14ac:dyDescent="0.3">
      <c r="A189" s="3"/>
      <c r="B189" s="7" t="s">
        <v>7</v>
      </c>
      <c r="C189" s="2" t="s">
        <v>166</v>
      </c>
      <c r="D189" s="10" t="s">
        <v>205</v>
      </c>
      <c r="E189" s="2" t="s">
        <v>39</v>
      </c>
      <c r="F189" s="2" t="s">
        <v>198</v>
      </c>
      <c r="G189" s="2" t="s">
        <v>34</v>
      </c>
      <c r="H189" s="4" t="s">
        <v>4</v>
      </c>
      <c r="I189" s="2">
        <v>432</v>
      </c>
      <c r="J189" s="2"/>
      <c r="K189" s="12"/>
      <c r="L189" s="6"/>
    </row>
    <row r="190" spans="1:12" s="8" customFormat="1" ht="45" customHeight="1" thickBot="1" x14ac:dyDescent="0.3">
      <c r="A190" s="3"/>
      <c r="B190" s="7" t="s">
        <v>7</v>
      </c>
      <c r="C190" s="2" t="s">
        <v>207</v>
      </c>
      <c r="D190" s="15" t="s">
        <v>206</v>
      </c>
      <c r="E190" s="2" t="s">
        <v>39</v>
      </c>
      <c r="F190" s="2" t="s">
        <v>198</v>
      </c>
      <c r="G190" s="2" t="s">
        <v>34</v>
      </c>
      <c r="H190" s="4" t="s">
        <v>4</v>
      </c>
      <c r="I190" s="2">
        <v>179.76</v>
      </c>
      <c r="J190" s="2"/>
      <c r="K190" s="12"/>
      <c r="L190" s="6"/>
    </row>
    <row r="191" spans="1:12" s="8" customFormat="1" ht="45" customHeight="1" thickBot="1" x14ac:dyDescent="0.3">
      <c r="A191" s="3"/>
      <c r="B191" s="7" t="s">
        <v>7</v>
      </c>
      <c r="C191" s="2" t="s">
        <v>12</v>
      </c>
      <c r="D191" s="15" t="s">
        <v>208</v>
      </c>
      <c r="E191" s="2" t="s">
        <v>39</v>
      </c>
      <c r="F191" s="2" t="s">
        <v>198</v>
      </c>
      <c r="G191" s="2" t="s">
        <v>34</v>
      </c>
      <c r="H191" s="4" t="s">
        <v>4</v>
      </c>
      <c r="I191" s="2">
        <v>170.25</v>
      </c>
      <c r="J191" s="2"/>
      <c r="K191" s="12"/>
      <c r="L191" s="6"/>
    </row>
    <row r="192" spans="1:12" s="8" customFormat="1" ht="45" customHeight="1" thickBot="1" x14ac:dyDescent="0.3">
      <c r="A192" s="3"/>
      <c r="B192" s="7" t="s">
        <v>7</v>
      </c>
      <c r="C192" s="2" t="s">
        <v>196</v>
      </c>
      <c r="D192" s="15" t="s">
        <v>209</v>
      </c>
      <c r="E192" s="2" t="s">
        <v>39</v>
      </c>
      <c r="F192" s="2" t="s">
        <v>210</v>
      </c>
      <c r="G192" s="2" t="s">
        <v>32</v>
      </c>
      <c r="H192" s="4" t="s">
        <v>4</v>
      </c>
      <c r="I192" s="2">
        <v>471.74</v>
      </c>
      <c r="J192" s="2"/>
      <c r="K192" s="12"/>
      <c r="L192" s="6"/>
    </row>
    <row r="193" spans="1:12" s="8" customFormat="1" ht="45" customHeight="1" thickBot="1" x14ac:dyDescent="0.3">
      <c r="A193" s="3"/>
      <c r="B193" s="7" t="s">
        <v>7</v>
      </c>
      <c r="C193" s="2" t="s">
        <v>196</v>
      </c>
      <c r="D193" s="15" t="s">
        <v>211</v>
      </c>
      <c r="E193" s="2" t="s">
        <v>39</v>
      </c>
      <c r="F193" s="2" t="s">
        <v>210</v>
      </c>
      <c r="G193" s="2" t="s">
        <v>32</v>
      </c>
      <c r="H193" s="4" t="s">
        <v>4</v>
      </c>
      <c r="I193" s="2">
        <v>471.74</v>
      </c>
      <c r="J193" s="2"/>
      <c r="K193" s="12"/>
      <c r="L193" s="6"/>
    </row>
    <row r="194" spans="1:12" s="8" customFormat="1" ht="45" customHeight="1" thickBot="1" x14ac:dyDescent="0.3">
      <c r="A194" s="3"/>
      <c r="B194" s="7" t="s">
        <v>7</v>
      </c>
      <c r="C194" s="2" t="s">
        <v>196</v>
      </c>
      <c r="D194" s="15" t="s">
        <v>212</v>
      </c>
      <c r="E194" s="2" t="s">
        <v>39</v>
      </c>
      <c r="F194" s="2" t="s">
        <v>210</v>
      </c>
      <c r="G194" s="2" t="s">
        <v>32</v>
      </c>
      <c r="H194" s="4" t="s">
        <v>4</v>
      </c>
      <c r="I194" s="2">
        <v>345.37</v>
      </c>
      <c r="J194" s="2"/>
      <c r="K194" s="12"/>
      <c r="L194" s="6"/>
    </row>
    <row r="195" spans="1:12" s="8" customFormat="1" ht="45" customHeight="1" thickBot="1" x14ac:dyDescent="0.3">
      <c r="A195" s="3"/>
      <c r="B195" s="7" t="s">
        <v>7</v>
      </c>
      <c r="C195" s="2" t="s">
        <v>196</v>
      </c>
      <c r="D195" s="15" t="s">
        <v>213</v>
      </c>
      <c r="E195" s="2" t="s">
        <v>39</v>
      </c>
      <c r="F195" s="2" t="s">
        <v>210</v>
      </c>
      <c r="G195" s="2" t="s">
        <v>32</v>
      </c>
      <c r="H195" s="4" t="s">
        <v>4</v>
      </c>
      <c r="I195" s="2">
        <v>345.37</v>
      </c>
      <c r="J195" s="2"/>
      <c r="K195" s="12"/>
      <c r="L195" s="6"/>
    </row>
    <row r="196" spans="1:12" s="8" customFormat="1" ht="45" customHeight="1" thickBot="1" x14ac:dyDescent="0.3">
      <c r="A196" s="3"/>
      <c r="B196" s="7" t="s">
        <v>7</v>
      </c>
      <c r="C196" s="2" t="s">
        <v>214</v>
      </c>
      <c r="D196" s="15" t="s">
        <v>142</v>
      </c>
      <c r="E196" s="2" t="s">
        <v>39</v>
      </c>
      <c r="F196" s="2" t="s">
        <v>210</v>
      </c>
      <c r="G196" s="2" t="s">
        <v>32</v>
      </c>
      <c r="H196" s="4" t="s">
        <v>4</v>
      </c>
      <c r="I196" s="2">
        <v>841.75</v>
      </c>
      <c r="J196" s="2"/>
      <c r="K196" s="12"/>
      <c r="L196" s="6"/>
    </row>
    <row r="197" spans="1:12" s="8" customFormat="1" ht="45" customHeight="1" thickBot="1" x14ac:dyDescent="0.3">
      <c r="A197" s="3"/>
      <c r="B197" s="7" t="s">
        <v>7</v>
      </c>
      <c r="C197" s="2" t="s">
        <v>166</v>
      </c>
      <c r="D197" s="2" t="s">
        <v>42</v>
      </c>
      <c r="E197" s="2" t="s">
        <v>39</v>
      </c>
      <c r="F197" s="2" t="s">
        <v>210</v>
      </c>
      <c r="G197" s="2" t="s">
        <v>34</v>
      </c>
      <c r="H197" s="4" t="s">
        <v>4</v>
      </c>
      <c r="I197" s="2">
        <v>416.16</v>
      </c>
      <c r="J197" s="2"/>
      <c r="K197" s="12"/>
      <c r="L197" s="6"/>
    </row>
    <row r="198" spans="1:12" s="8" customFormat="1" ht="45" customHeight="1" thickBot="1" x14ac:dyDescent="0.3">
      <c r="A198" s="3"/>
      <c r="B198" s="7" t="s">
        <v>7</v>
      </c>
      <c r="C198" s="2" t="s">
        <v>196</v>
      </c>
      <c r="D198" s="15" t="s">
        <v>215</v>
      </c>
      <c r="E198" s="2" t="s">
        <v>39</v>
      </c>
      <c r="F198" s="2" t="s">
        <v>210</v>
      </c>
      <c r="G198" s="2" t="s">
        <v>34</v>
      </c>
      <c r="H198" s="4" t="s">
        <v>4</v>
      </c>
      <c r="I198" s="2">
        <v>233.34</v>
      </c>
      <c r="J198" s="2"/>
      <c r="K198" s="12"/>
      <c r="L198" s="6"/>
    </row>
    <row r="199" spans="1:12" s="8" customFormat="1" ht="45" customHeight="1" thickBot="1" x14ac:dyDescent="0.3">
      <c r="A199" s="3"/>
      <c r="B199" s="7" t="s">
        <v>7</v>
      </c>
      <c r="C199" s="2" t="s">
        <v>216</v>
      </c>
      <c r="D199" s="15" t="s">
        <v>217</v>
      </c>
      <c r="E199" s="2" t="s">
        <v>39</v>
      </c>
      <c r="F199" s="2" t="s">
        <v>218</v>
      </c>
      <c r="G199" s="2" t="s">
        <v>32</v>
      </c>
      <c r="H199" s="4" t="s">
        <v>4</v>
      </c>
      <c r="I199" s="2">
        <v>391.42</v>
      </c>
      <c r="J199" s="2"/>
      <c r="K199" s="12"/>
      <c r="L199" s="6"/>
    </row>
    <row r="200" spans="1:12" s="8" customFormat="1" ht="45" customHeight="1" thickBot="1" x14ac:dyDescent="0.3">
      <c r="A200" s="3"/>
      <c r="B200" s="7" t="s">
        <v>7</v>
      </c>
      <c r="C200" s="2" t="s">
        <v>216</v>
      </c>
      <c r="D200" s="15" t="s">
        <v>219</v>
      </c>
      <c r="E200" s="2" t="s">
        <v>39</v>
      </c>
      <c r="F200" s="2" t="s">
        <v>218</v>
      </c>
      <c r="G200" s="2" t="s">
        <v>32</v>
      </c>
      <c r="H200" s="4" t="s">
        <v>4</v>
      </c>
      <c r="I200" s="2">
        <v>391.42</v>
      </c>
      <c r="J200" s="2"/>
      <c r="K200" s="12"/>
      <c r="L200" s="6"/>
    </row>
    <row r="201" spans="1:12" s="8" customFormat="1" ht="45" customHeight="1" thickBot="1" x14ac:dyDescent="0.3">
      <c r="A201" s="3"/>
      <c r="B201" s="7" t="s">
        <v>7</v>
      </c>
      <c r="C201" s="2" t="s">
        <v>10</v>
      </c>
      <c r="D201" s="15" t="s">
        <v>220</v>
      </c>
      <c r="E201" s="2" t="s">
        <v>39</v>
      </c>
      <c r="F201" s="2" t="s">
        <v>218</v>
      </c>
      <c r="G201" s="2" t="s">
        <v>32</v>
      </c>
      <c r="H201" s="4" t="s">
        <v>4</v>
      </c>
      <c r="I201" s="2">
        <v>391.42</v>
      </c>
      <c r="J201" s="2"/>
      <c r="K201" s="12"/>
      <c r="L201" s="6"/>
    </row>
    <row r="202" spans="1:12" s="8" customFormat="1" ht="45" customHeight="1" thickBot="1" x14ac:dyDescent="0.3">
      <c r="A202" s="3"/>
      <c r="B202" s="7" t="s">
        <v>7</v>
      </c>
      <c r="C202" s="2" t="s">
        <v>216</v>
      </c>
      <c r="D202" s="15" t="s">
        <v>221</v>
      </c>
      <c r="E202" s="2" t="s">
        <v>39</v>
      </c>
      <c r="F202" s="2" t="s">
        <v>218</v>
      </c>
      <c r="G202" s="2" t="s">
        <v>32</v>
      </c>
      <c r="H202" s="4" t="s">
        <v>4</v>
      </c>
      <c r="I202" s="2">
        <v>524.07000000000005</v>
      </c>
      <c r="J202" s="2"/>
      <c r="K202" s="12"/>
      <c r="L202" s="6"/>
    </row>
    <row r="203" spans="1:12" s="8" customFormat="1" ht="45" customHeight="1" thickBot="1" x14ac:dyDescent="0.3">
      <c r="A203" s="3"/>
      <c r="B203" s="7" t="s">
        <v>7</v>
      </c>
      <c r="C203" s="2" t="s">
        <v>216</v>
      </c>
      <c r="D203" s="15" t="s">
        <v>222</v>
      </c>
      <c r="E203" s="2" t="s">
        <v>39</v>
      </c>
      <c r="F203" s="2" t="s">
        <v>218</v>
      </c>
      <c r="G203" s="2" t="s">
        <v>32</v>
      </c>
      <c r="H203" s="4" t="s">
        <v>4</v>
      </c>
      <c r="I203" s="2">
        <v>524.07000000000005</v>
      </c>
      <c r="J203" s="2"/>
      <c r="K203" s="12"/>
      <c r="L203" s="6"/>
    </row>
    <row r="204" spans="1:12" s="8" customFormat="1" ht="45" customHeight="1" thickBot="1" x14ac:dyDescent="0.3">
      <c r="A204" s="3"/>
      <c r="B204" s="7" t="s">
        <v>7</v>
      </c>
      <c r="C204" s="2" t="s">
        <v>10</v>
      </c>
      <c r="D204" s="15" t="s">
        <v>223</v>
      </c>
      <c r="E204" s="2" t="s">
        <v>39</v>
      </c>
      <c r="F204" s="2" t="s">
        <v>218</v>
      </c>
      <c r="G204" s="2" t="s">
        <v>32</v>
      </c>
      <c r="H204" s="4" t="s">
        <v>4</v>
      </c>
      <c r="I204" s="2">
        <v>524.07000000000005</v>
      </c>
      <c r="J204" s="2"/>
      <c r="K204" s="12"/>
      <c r="L204" s="6"/>
    </row>
    <row r="205" spans="1:12" s="8" customFormat="1" ht="45" customHeight="1" thickBot="1" x14ac:dyDescent="0.3">
      <c r="A205" s="3"/>
      <c r="B205" s="7" t="s">
        <v>7</v>
      </c>
      <c r="C205" s="2" t="s">
        <v>10</v>
      </c>
      <c r="D205" s="15" t="s">
        <v>224</v>
      </c>
      <c r="E205" s="2" t="s">
        <v>39</v>
      </c>
      <c r="F205" s="2" t="s">
        <v>218</v>
      </c>
      <c r="G205" s="2" t="s">
        <v>32</v>
      </c>
      <c r="H205" s="4" t="s">
        <v>4</v>
      </c>
      <c r="I205" s="2">
        <v>524.07000000000005</v>
      </c>
      <c r="J205" s="2"/>
      <c r="K205" s="12"/>
      <c r="L205" s="6"/>
    </row>
    <row r="206" spans="1:12" s="8" customFormat="1" ht="45" customHeight="1" thickBot="1" x14ac:dyDescent="0.3">
      <c r="A206" s="3"/>
      <c r="B206" s="7" t="s">
        <v>7</v>
      </c>
      <c r="C206" s="2" t="s">
        <v>9</v>
      </c>
      <c r="D206" s="15" t="s">
        <v>226</v>
      </c>
      <c r="E206" s="2" t="s">
        <v>39</v>
      </c>
      <c r="F206" s="2" t="s">
        <v>225</v>
      </c>
      <c r="G206" s="2" t="s">
        <v>32</v>
      </c>
      <c r="H206" s="4" t="s">
        <v>4</v>
      </c>
      <c r="I206" s="2">
        <v>550</v>
      </c>
      <c r="J206" s="2"/>
      <c r="K206" s="12"/>
      <c r="L206" s="6"/>
    </row>
    <row r="207" spans="1:12" s="8" customFormat="1" ht="45" customHeight="1" thickBot="1" x14ac:dyDescent="0.3">
      <c r="A207" s="3"/>
      <c r="B207" s="7" t="s">
        <v>7</v>
      </c>
      <c r="C207" s="2" t="s">
        <v>9</v>
      </c>
      <c r="D207" s="15" t="s">
        <v>227</v>
      </c>
      <c r="E207" s="2" t="s">
        <v>39</v>
      </c>
      <c r="F207" s="2" t="s">
        <v>225</v>
      </c>
      <c r="G207" s="2" t="s">
        <v>32</v>
      </c>
      <c r="H207" s="4" t="s">
        <v>4</v>
      </c>
      <c r="I207" s="2">
        <v>550</v>
      </c>
      <c r="J207" s="2"/>
      <c r="K207" s="12"/>
      <c r="L207" s="6"/>
    </row>
    <row r="208" spans="1:12" s="8" customFormat="1" ht="45" customHeight="1" thickBot="1" x14ac:dyDescent="0.3">
      <c r="A208" s="3"/>
      <c r="B208" s="7" t="s">
        <v>7</v>
      </c>
      <c r="C208" s="2" t="s">
        <v>9</v>
      </c>
      <c r="D208" s="15" t="s">
        <v>228</v>
      </c>
      <c r="E208" s="2" t="s">
        <v>39</v>
      </c>
      <c r="F208" s="2" t="s">
        <v>225</v>
      </c>
      <c r="G208" s="2" t="s">
        <v>32</v>
      </c>
      <c r="H208" s="4" t="s">
        <v>4</v>
      </c>
      <c r="I208" s="2">
        <v>410.52</v>
      </c>
      <c r="J208" s="2"/>
      <c r="K208" s="12"/>
      <c r="L208" s="6"/>
    </row>
    <row r="209" spans="1:12" s="8" customFormat="1" ht="45" customHeight="1" thickBot="1" x14ac:dyDescent="0.3">
      <c r="A209" s="3"/>
      <c r="B209" s="7" t="s">
        <v>7</v>
      </c>
      <c r="C209" s="2" t="s">
        <v>9</v>
      </c>
      <c r="D209" s="15" t="s">
        <v>229</v>
      </c>
      <c r="E209" s="2" t="s">
        <v>39</v>
      </c>
      <c r="F209" s="2" t="s">
        <v>225</v>
      </c>
      <c r="G209" s="2" t="s">
        <v>32</v>
      </c>
      <c r="H209" s="4" t="s">
        <v>4</v>
      </c>
      <c r="I209" s="2">
        <v>410.52</v>
      </c>
      <c r="J209" s="2"/>
      <c r="K209" s="12"/>
      <c r="L209" s="6"/>
    </row>
    <row r="210" spans="1:12" s="8" customFormat="1" ht="45" customHeight="1" thickBot="1" x14ac:dyDescent="0.3">
      <c r="A210" s="3"/>
      <c r="B210" s="7" t="s">
        <v>7</v>
      </c>
      <c r="C210" s="2" t="s">
        <v>9</v>
      </c>
      <c r="D210" s="15" t="s">
        <v>230</v>
      </c>
      <c r="E210" s="2" t="s">
        <v>39</v>
      </c>
      <c r="F210" s="2" t="s">
        <v>225</v>
      </c>
      <c r="G210" s="2" t="s">
        <v>32</v>
      </c>
      <c r="H210" s="4" t="s">
        <v>4</v>
      </c>
      <c r="I210" s="2">
        <v>132.63</v>
      </c>
      <c r="J210" s="2"/>
      <c r="K210" s="12"/>
      <c r="L210" s="6"/>
    </row>
    <row r="211" spans="1:12" s="8" customFormat="1" ht="45" customHeight="1" thickBot="1" x14ac:dyDescent="0.3">
      <c r="A211" s="3"/>
      <c r="B211" s="7" t="s">
        <v>7</v>
      </c>
      <c r="C211" s="2" t="s">
        <v>232</v>
      </c>
      <c r="D211" s="10" t="s">
        <v>233</v>
      </c>
      <c r="E211" s="7" t="s">
        <v>30</v>
      </c>
      <c r="F211" s="2" t="s">
        <v>234</v>
      </c>
      <c r="G211" s="2" t="s">
        <v>34</v>
      </c>
      <c r="H211" s="4" t="s">
        <v>4</v>
      </c>
      <c r="I211" s="2">
        <v>323.42</v>
      </c>
      <c r="J211" s="2"/>
      <c r="K211" s="12"/>
      <c r="L211" s="6"/>
    </row>
    <row r="212" spans="1:12" s="8" customFormat="1" ht="45" customHeight="1" thickBot="1" x14ac:dyDescent="0.3">
      <c r="A212" s="3"/>
      <c r="B212" s="7" t="s">
        <v>7</v>
      </c>
      <c r="C212" s="4" t="s">
        <v>29</v>
      </c>
      <c r="D212" s="10" t="s">
        <v>235</v>
      </c>
      <c r="E212" s="7" t="s">
        <v>30</v>
      </c>
      <c r="F212" s="2" t="s">
        <v>234</v>
      </c>
      <c r="G212" s="2" t="s">
        <v>34</v>
      </c>
      <c r="H212" s="4" t="s">
        <v>4</v>
      </c>
      <c r="I212" s="2">
        <v>38.44</v>
      </c>
      <c r="J212" s="2"/>
      <c r="K212" s="12"/>
      <c r="L212" s="6"/>
    </row>
    <row r="213" spans="1:12" s="8" customFormat="1" ht="45" customHeight="1" thickBot="1" x14ac:dyDescent="0.3">
      <c r="A213" s="3"/>
      <c r="B213" s="7" t="s">
        <v>7</v>
      </c>
      <c r="C213" s="7" t="s">
        <v>35</v>
      </c>
      <c r="D213" s="15" t="s">
        <v>70</v>
      </c>
      <c r="E213" s="7" t="s">
        <v>30</v>
      </c>
      <c r="F213" s="2" t="s">
        <v>234</v>
      </c>
      <c r="G213" s="2" t="s">
        <v>32</v>
      </c>
      <c r="H213" s="4" t="s">
        <v>4</v>
      </c>
      <c r="I213" s="2">
        <v>31.955400000000001</v>
      </c>
      <c r="J213" s="2"/>
      <c r="K213" s="12"/>
      <c r="L213" s="6" t="s">
        <v>236</v>
      </c>
    </row>
    <row r="214" spans="1:12" s="8" customFormat="1" ht="45" customHeight="1" thickBot="1" x14ac:dyDescent="0.3">
      <c r="A214" s="3"/>
      <c r="B214" s="7" t="s">
        <v>7</v>
      </c>
      <c r="C214" s="7" t="s">
        <v>35</v>
      </c>
      <c r="D214" s="15" t="s">
        <v>71</v>
      </c>
      <c r="E214" s="7" t="s">
        <v>30</v>
      </c>
      <c r="F214" s="2" t="s">
        <v>234</v>
      </c>
      <c r="G214" s="2" t="s">
        <v>32</v>
      </c>
      <c r="H214" s="4" t="s">
        <v>4</v>
      </c>
      <c r="I214" s="2">
        <v>30.756</v>
      </c>
      <c r="J214" s="2"/>
      <c r="K214" s="12"/>
      <c r="L214" s="6" t="s">
        <v>236</v>
      </c>
    </row>
    <row r="215" spans="1:12" s="8" customFormat="1" ht="45" customHeight="1" thickBot="1" x14ac:dyDescent="0.3">
      <c r="A215" s="3"/>
      <c r="B215" s="7" t="s">
        <v>7</v>
      </c>
      <c r="C215" s="7" t="s">
        <v>35</v>
      </c>
      <c r="D215" s="15" t="s">
        <v>72</v>
      </c>
      <c r="E215" s="7" t="s">
        <v>30</v>
      </c>
      <c r="F215" s="2" t="s">
        <v>234</v>
      </c>
      <c r="G215" s="2" t="s">
        <v>32</v>
      </c>
      <c r="H215" s="4" t="s">
        <v>4</v>
      </c>
      <c r="I215" s="2">
        <v>26.831800000000001</v>
      </c>
      <c r="J215" s="2"/>
      <c r="K215" s="12"/>
      <c r="L215" s="6" t="s">
        <v>236</v>
      </c>
    </row>
    <row r="216" spans="1:12" s="8" customFormat="1" ht="45" customHeight="1" thickBot="1" x14ac:dyDescent="0.3">
      <c r="A216" s="3"/>
      <c r="B216" s="7" t="s">
        <v>7</v>
      </c>
      <c r="C216" s="7" t="s">
        <v>35</v>
      </c>
      <c r="D216" s="15" t="s">
        <v>66</v>
      </c>
      <c r="E216" s="7" t="s">
        <v>30</v>
      </c>
      <c r="F216" s="2" t="s">
        <v>234</v>
      </c>
      <c r="G216" s="2" t="s">
        <v>32</v>
      </c>
      <c r="H216" s="4" t="s">
        <v>4</v>
      </c>
      <c r="I216" s="2">
        <v>28.5991</v>
      </c>
      <c r="J216" s="2"/>
      <c r="K216" s="12"/>
      <c r="L216" s="6" t="s">
        <v>236</v>
      </c>
    </row>
    <row r="217" spans="1:12" s="8" customFormat="1" ht="45" customHeight="1" thickBot="1" x14ac:dyDescent="0.3">
      <c r="A217" s="3"/>
      <c r="B217" s="7" t="s">
        <v>7</v>
      </c>
      <c r="C217" s="7" t="s">
        <v>35</v>
      </c>
      <c r="D217" s="15" t="s">
        <v>67</v>
      </c>
      <c r="E217" s="7" t="s">
        <v>30</v>
      </c>
      <c r="F217" s="2" t="s">
        <v>234</v>
      </c>
      <c r="G217" s="2" t="s">
        <v>32</v>
      </c>
      <c r="H217" s="4" t="s">
        <v>4</v>
      </c>
      <c r="I217" s="2">
        <v>28.175000000000001</v>
      </c>
      <c r="J217" s="2"/>
      <c r="K217" s="12"/>
      <c r="L217" s="6" t="s">
        <v>236</v>
      </c>
    </row>
    <row r="218" spans="1:12" s="8" customFormat="1" ht="45" customHeight="1" thickBot="1" x14ac:dyDescent="0.3">
      <c r="A218" s="3"/>
      <c r="B218" s="7" t="s">
        <v>7</v>
      </c>
      <c r="C218" s="7" t="s">
        <v>35</v>
      </c>
      <c r="D218" s="15" t="s">
        <v>68</v>
      </c>
      <c r="E218" s="7" t="s">
        <v>30</v>
      </c>
      <c r="F218" s="2" t="s">
        <v>234</v>
      </c>
      <c r="G218" s="2" t="s">
        <v>32</v>
      </c>
      <c r="H218" s="4" t="s">
        <v>4</v>
      </c>
      <c r="I218" s="2">
        <v>31.626000000000001</v>
      </c>
      <c r="J218" s="2"/>
      <c r="K218" s="12"/>
      <c r="L218" s="6" t="s">
        <v>236</v>
      </c>
    </row>
    <row r="219" spans="1:12" s="8" customFormat="1" ht="45" customHeight="1" thickBot="1" x14ac:dyDescent="0.3">
      <c r="A219" s="3"/>
      <c r="B219" s="7" t="s">
        <v>7</v>
      </c>
      <c r="C219" s="7" t="s">
        <v>35</v>
      </c>
      <c r="D219" s="16" t="s">
        <v>237</v>
      </c>
      <c r="E219" s="7" t="s">
        <v>30</v>
      </c>
      <c r="F219" s="2" t="s">
        <v>234</v>
      </c>
      <c r="G219" s="2" t="s">
        <v>32</v>
      </c>
      <c r="H219" s="4" t="s">
        <v>4</v>
      </c>
      <c r="I219" s="2">
        <v>32.96</v>
      </c>
      <c r="J219" s="2"/>
      <c r="K219" s="12"/>
      <c r="L219" s="6"/>
    </row>
    <row r="220" spans="1:12" s="8" customFormat="1" ht="45" customHeight="1" thickBot="1" x14ac:dyDescent="0.3">
      <c r="A220" s="3"/>
      <c r="B220" s="7" t="s">
        <v>7</v>
      </c>
      <c r="C220" s="4" t="s">
        <v>216</v>
      </c>
      <c r="D220" s="13">
        <v>505506</v>
      </c>
      <c r="E220" s="7" t="s">
        <v>51</v>
      </c>
      <c r="F220" s="2" t="s">
        <v>238</v>
      </c>
      <c r="G220" s="7" t="s">
        <v>32</v>
      </c>
      <c r="H220" s="4" t="s">
        <v>4</v>
      </c>
      <c r="I220" s="2">
        <v>670.92409999999995</v>
      </c>
      <c r="J220" s="2"/>
      <c r="K220" s="12"/>
      <c r="L220" s="6" t="s">
        <v>239</v>
      </c>
    </row>
    <row r="221" spans="1:12" s="8" customFormat="1" ht="45" customHeight="1" thickBot="1" x14ac:dyDescent="0.3">
      <c r="A221" s="3"/>
      <c r="B221" s="7" t="s">
        <v>7</v>
      </c>
      <c r="C221" s="4" t="s">
        <v>216</v>
      </c>
      <c r="D221" s="13">
        <v>505</v>
      </c>
      <c r="E221" s="7" t="s">
        <v>51</v>
      </c>
      <c r="F221" s="2" t="s">
        <v>238</v>
      </c>
      <c r="G221" s="7" t="s">
        <v>34</v>
      </c>
      <c r="H221" s="4" t="s">
        <v>4</v>
      </c>
      <c r="I221" s="2">
        <v>54.080800000000004</v>
      </c>
      <c r="J221" s="2"/>
      <c r="K221" s="12"/>
      <c r="L221" s="6"/>
    </row>
    <row r="222" spans="1:12" s="8" customFormat="1" ht="45" customHeight="1" thickBot="1" x14ac:dyDescent="0.3">
      <c r="A222" s="3"/>
      <c r="B222" s="7" t="s">
        <v>7</v>
      </c>
      <c r="C222" s="4" t="s">
        <v>216</v>
      </c>
      <c r="D222" s="13">
        <v>506</v>
      </c>
      <c r="E222" s="7" t="s">
        <v>51</v>
      </c>
      <c r="F222" s="2" t="s">
        <v>238</v>
      </c>
      <c r="G222" s="7" t="s">
        <v>34</v>
      </c>
      <c r="H222" s="4" t="s">
        <v>4</v>
      </c>
      <c r="I222" s="2">
        <v>73.367699999999999</v>
      </c>
      <c r="J222" s="2"/>
      <c r="K222" s="12"/>
      <c r="L222" s="6"/>
    </row>
    <row r="223" spans="1:12" s="22" customFormat="1" ht="45" customHeight="1" thickBot="1" x14ac:dyDescent="0.3">
      <c r="A223" s="17"/>
      <c r="B223" s="19" t="s">
        <v>7</v>
      </c>
      <c r="C223" s="19" t="s">
        <v>35</v>
      </c>
      <c r="D223" s="23" t="s">
        <v>11</v>
      </c>
      <c r="E223" s="19" t="s">
        <v>30</v>
      </c>
      <c r="F223" s="24" t="s">
        <v>240</v>
      </c>
      <c r="G223" s="24" t="s">
        <v>34</v>
      </c>
      <c r="H223" s="18" t="s">
        <v>4</v>
      </c>
      <c r="I223" s="24">
        <v>531.23929999999996</v>
      </c>
      <c r="J223" s="24"/>
      <c r="K223" s="25"/>
      <c r="L223" s="26"/>
    </row>
    <row r="224" spans="1:12" s="8" customFormat="1" ht="45" customHeight="1" thickBot="1" x14ac:dyDescent="0.3">
      <c r="A224" s="3"/>
      <c r="B224" s="7" t="s">
        <v>7</v>
      </c>
      <c r="C224" s="7" t="s">
        <v>35</v>
      </c>
      <c r="D224" s="16" t="s">
        <v>97</v>
      </c>
      <c r="E224" s="7" t="s">
        <v>30</v>
      </c>
      <c r="F224" s="2" t="s">
        <v>240</v>
      </c>
      <c r="G224" s="2" t="s">
        <v>34</v>
      </c>
      <c r="H224" s="4" t="s">
        <v>4</v>
      </c>
      <c r="I224" s="2">
        <v>78.63</v>
      </c>
      <c r="J224" s="2"/>
      <c r="K224" s="12"/>
      <c r="L224" s="6"/>
    </row>
    <row r="225" spans="1:12" ht="45" customHeight="1" thickBot="1" x14ac:dyDescent="0.3">
      <c r="A225" s="3"/>
      <c r="B225" s="7" t="s">
        <v>7</v>
      </c>
      <c r="C225" s="7" t="s">
        <v>15</v>
      </c>
      <c r="D225" s="2" t="s">
        <v>241</v>
      </c>
      <c r="E225" s="7" t="s">
        <v>30</v>
      </c>
      <c r="F225" s="2" t="s">
        <v>240</v>
      </c>
      <c r="G225" s="7" t="s">
        <v>34</v>
      </c>
      <c r="H225" s="4" t="s">
        <v>4</v>
      </c>
      <c r="I225" s="4">
        <v>41.04</v>
      </c>
      <c r="J225" s="4"/>
      <c r="K225" s="11"/>
      <c r="L225" s="5"/>
    </row>
    <row r="226" spans="1:12" ht="45" customHeight="1" thickBot="1" x14ac:dyDescent="0.3">
      <c r="A226" s="3"/>
      <c r="B226" s="7" t="s">
        <v>7</v>
      </c>
      <c r="C226" s="7" t="s">
        <v>16</v>
      </c>
      <c r="D226" s="2" t="s">
        <v>241</v>
      </c>
      <c r="E226" s="7" t="s">
        <v>30</v>
      </c>
      <c r="F226" s="2" t="s">
        <v>240</v>
      </c>
      <c r="G226" s="7" t="s">
        <v>34</v>
      </c>
      <c r="H226" s="4" t="s">
        <v>4</v>
      </c>
      <c r="I226" s="4">
        <v>41.04</v>
      </c>
      <c r="J226" s="4"/>
      <c r="K226" s="11"/>
      <c r="L226" s="5"/>
    </row>
    <row r="227" spans="1:12" ht="45" customHeight="1" thickBot="1" x14ac:dyDescent="0.3">
      <c r="A227" s="3"/>
      <c r="B227" s="7" t="s">
        <v>7</v>
      </c>
      <c r="C227" s="7" t="s">
        <v>17</v>
      </c>
      <c r="D227" s="2" t="s">
        <v>241</v>
      </c>
      <c r="E227" s="7" t="s">
        <v>30</v>
      </c>
      <c r="F227" s="2" t="s">
        <v>240</v>
      </c>
      <c r="G227" s="7" t="s">
        <v>34</v>
      </c>
      <c r="H227" s="4" t="s">
        <v>4</v>
      </c>
      <c r="I227" s="4">
        <v>41.04</v>
      </c>
      <c r="J227" s="4"/>
      <c r="K227" s="11"/>
      <c r="L227" s="5"/>
    </row>
    <row r="228" spans="1:12" ht="45" customHeight="1" thickBot="1" x14ac:dyDescent="0.3">
      <c r="A228" s="3"/>
      <c r="B228" s="7" t="s">
        <v>7</v>
      </c>
      <c r="C228" s="7" t="s">
        <v>20</v>
      </c>
      <c r="D228" s="2" t="s">
        <v>241</v>
      </c>
      <c r="E228" s="7" t="s">
        <v>30</v>
      </c>
      <c r="F228" s="2" t="s">
        <v>240</v>
      </c>
      <c r="G228" s="7" t="s">
        <v>34</v>
      </c>
      <c r="H228" s="4" t="s">
        <v>4</v>
      </c>
      <c r="I228" s="4">
        <v>41.04</v>
      </c>
      <c r="J228" s="4"/>
      <c r="K228" s="11"/>
      <c r="L228" s="5"/>
    </row>
    <row r="229" spans="1:12" ht="45" customHeight="1" thickBot="1" x14ac:dyDescent="0.3">
      <c r="A229" s="3"/>
      <c r="B229" s="7" t="s">
        <v>7</v>
      </c>
      <c r="C229" s="7" t="s">
        <v>65</v>
      </c>
      <c r="D229" s="2" t="s">
        <v>241</v>
      </c>
      <c r="E229" s="7" t="s">
        <v>30</v>
      </c>
      <c r="F229" s="2" t="s">
        <v>240</v>
      </c>
      <c r="G229" s="7" t="s">
        <v>34</v>
      </c>
      <c r="H229" s="4" t="s">
        <v>4</v>
      </c>
      <c r="I229" s="4">
        <v>41.04</v>
      </c>
      <c r="J229" s="4"/>
      <c r="K229" s="11"/>
      <c r="L229" s="5"/>
    </row>
    <row r="230" spans="1:12" ht="45" customHeight="1" thickBot="1" x14ac:dyDescent="0.3">
      <c r="A230" s="3"/>
      <c r="B230" s="7" t="s">
        <v>7</v>
      </c>
      <c r="C230" s="7" t="s">
        <v>43</v>
      </c>
      <c r="D230" s="2" t="s">
        <v>241</v>
      </c>
      <c r="E230" s="7" t="s">
        <v>30</v>
      </c>
      <c r="F230" s="2" t="s">
        <v>240</v>
      </c>
      <c r="G230" s="7" t="s">
        <v>34</v>
      </c>
      <c r="H230" s="4" t="s">
        <v>4</v>
      </c>
      <c r="I230" s="4">
        <v>45.36</v>
      </c>
      <c r="J230" s="4"/>
      <c r="K230" s="11"/>
      <c r="L230" s="5"/>
    </row>
    <row r="231" spans="1:12" s="8" customFormat="1" ht="45" customHeight="1" thickBot="1" x14ac:dyDescent="0.3">
      <c r="A231" s="3"/>
      <c r="B231" s="7" t="s">
        <v>7</v>
      </c>
      <c r="C231" s="4" t="s">
        <v>14</v>
      </c>
      <c r="D231" s="10" t="s">
        <v>242</v>
      </c>
      <c r="E231" s="7" t="s">
        <v>30</v>
      </c>
      <c r="F231" s="2" t="s">
        <v>240</v>
      </c>
      <c r="G231" s="7" t="s">
        <v>34</v>
      </c>
      <c r="H231" s="4" t="s">
        <v>4</v>
      </c>
      <c r="I231" s="2">
        <v>38.44</v>
      </c>
      <c r="J231" s="2"/>
      <c r="K231" s="12"/>
      <c r="L231" s="6"/>
    </row>
    <row r="232" spans="1:12" s="8" customFormat="1" ht="45" customHeight="1" thickBot="1" x14ac:dyDescent="0.3">
      <c r="A232" s="3"/>
      <c r="B232" s="7" t="s">
        <v>7</v>
      </c>
      <c r="C232" s="4" t="s">
        <v>15</v>
      </c>
      <c r="D232" s="10" t="s">
        <v>243</v>
      </c>
      <c r="E232" s="7" t="s">
        <v>30</v>
      </c>
      <c r="F232" s="2" t="s">
        <v>240</v>
      </c>
      <c r="G232" s="7" t="s">
        <v>34</v>
      </c>
      <c r="H232" s="4" t="s">
        <v>4</v>
      </c>
      <c r="I232" s="2">
        <v>28.83</v>
      </c>
      <c r="J232" s="2"/>
      <c r="K232" s="12"/>
      <c r="L232" s="6"/>
    </row>
    <row r="233" spans="1:12" s="8" customFormat="1" ht="45" customHeight="1" thickBot="1" x14ac:dyDescent="0.3">
      <c r="A233" s="3"/>
      <c r="B233" s="7" t="s">
        <v>7</v>
      </c>
      <c r="C233" s="4" t="s">
        <v>244</v>
      </c>
      <c r="D233" s="15" t="s">
        <v>161</v>
      </c>
      <c r="E233" s="7" t="s">
        <v>30</v>
      </c>
      <c r="F233" s="2" t="s">
        <v>240</v>
      </c>
      <c r="G233" s="7" t="s">
        <v>34</v>
      </c>
      <c r="H233" s="4" t="s">
        <v>4</v>
      </c>
      <c r="I233" s="2">
        <v>19.95</v>
      </c>
      <c r="J233" s="2"/>
      <c r="K233" s="12"/>
      <c r="L233" s="27" t="s">
        <v>245</v>
      </c>
    </row>
    <row r="234" spans="1:12" s="8" customFormat="1" ht="45" customHeight="1" thickBot="1" x14ac:dyDescent="0.3">
      <c r="A234" s="3"/>
      <c r="B234" s="7" t="s">
        <v>7</v>
      </c>
      <c r="C234" s="4" t="s">
        <v>35</v>
      </c>
      <c r="D234" s="2" t="s">
        <v>37</v>
      </c>
      <c r="E234" s="7" t="s">
        <v>30</v>
      </c>
      <c r="F234" s="2" t="s">
        <v>240</v>
      </c>
      <c r="G234" s="7" t="s">
        <v>32</v>
      </c>
      <c r="H234" s="4" t="s">
        <v>4</v>
      </c>
      <c r="I234" s="2">
        <v>32.895000000000003</v>
      </c>
      <c r="J234" s="2"/>
      <c r="K234" s="12"/>
      <c r="L234" s="6" t="s">
        <v>246</v>
      </c>
    </row>
    <row r="235" spans="1:12" s="8" customFormat="1" ht="45" customHeight="1" thickBot="1" x14ac:dyDescent="0.3">
      <c r="A235" s="3"/>
      <c r="B235" s="7" t="s">
        <v>7</v>
      </c>
      <c r="C235" s="4" t="s">
        <v>35</v>
      </c>
      <c r="D235" s="2" t="s">
        <v>142</v>
      </c>
      <c r="E235" s="7" t="s">
        <v>30</v>
      </c>
      <c r="F235" s="2" t="s">
        <v>240</v>
      </c>
      <c r="G235" s="7" t="s">
        <v>32</v>
      </c>
      <c r="H235" s="4" t="s">
        <v>4</v>
      </c>
      <c r="I235" s="2">
        <v>64.240399999999994</v>
      </c>
      <c r="J235" s="2"/>
      <c r="K235" s="12"/>
      <c r="L235" s="6"/>
    </row>
    <row r="236" spans="1:12" s="8" customFormat="1" ht="45" customHeight="1" thickBot="1" x14ac:dyDescent="0.3">
      <c r="A236" s="3"/>
      <c r="B236" s="7" t="s">
        <v>7</v>
      </c>
      <c r="C236" s="4" t="s">
        <v>35</v>
      </c>
      <c r="D236" s="2" t="s">
        <v>8</v>
      </c>
      <c r="E236" s="7" t="s">
        <v>30</v>
      </c>
      <c r="F236" s="2" t="s">
        <v>240</v>
      </c>
      <c r="G236" s="7" t="s">
        <v>32</v>
      </c>
      <c r="H236" s="4" t="s">
        <v>4</v>
      </c>
      <c r="I236" s="2">
        <v>22.440300000000001</v>
      </c>
      <c r="J236" s="2"/>
      <c r="K236" s="12"/>
      <c r="L236" s="6"/>
    </row>
    <row r="237" spans="1:12" s="21" customFormat="1" ht="45" customHeight="1" thickBot="1" x14ac:dyDescent="0.3">
      <c r="A237" s="17"/>
      <c r="B237" s="19" t="s">
        <v>7</v>
      </c>
      <c r="C237" s="19" t="s">
        <v>16</v>
      </c>
      <c r="D237" s="24" t="s">
        <v>142</v>
      </c>
      <c r="E237" s="19" t="s">
        <v>39</v>
      </c>
      <c r="F237" s="19" t="s">
        <v>247</v>
      </c>
      <c r="G237" s="19" t="s">
        <v>32</v>
      </c>
      <c r="H237" s="18" t="s">
        <v>4</v>
      </c>
      <c r="I237" s="18">
        <v>53.956000000000003</v>
      </c>
      <c r="J237" s="18"/>
      <c r="K237" s="28"/>
      <c r="L237" s="20"/>
    </row>
    <row r="238" spans="1:12" ht="45" customHeight="1" thickBot="1" x14ac:dyDescent="0.3">
      <c r="A238" s="3"/>
      <c r="B238" s="7" t="s">
        <v>7</v>
      </c>
      <c r="C238" s="7" t="s">
        <v>20</v>
      </c>
      <c r="D238" s="2" t="s">
        <v>142</v>
      </c>
      <c r="E238" s="7" t="s">
        <v>39</v>
      </c>
      <c r="F238" s="7" t="s">
        <v>247</v>
      </c>
      <c r="G238" s="7" t="s">
        <v>32</v>
      </c>
      <c r="H238" s="4" t="s">
        <v>4</v>
      </c>
      <c r="I238" s="4">
        <v>53.956000000000003</v>
      </c>
      <c r="J238" s="4"/>
      <c r="K238" s="11"/>
      <c r="L238" s="5"/>
    </row>
    <row r="239" spans="1:12" ht="45" customHeight="1" thickBot="1" x14ac:dyDescent="0.3">
      <c r="A239" s="3"/>
      <c r="B239" s="7" t="s">
        <v>7</v>
      </c>
      <c r="C239" s="7" t="s">
        <v>65</v>
      </c>
      <c r="D239" s="2" t="s">
        <v>142</v>
      </c>
      <c r="E239" s="7" t="s">
        <v>39</v>
      </c>
      <c r="F239" s="7" t="s">
        <v>247</v>
      </c>
      <c r="G239" s="7" t="s">
        <v>32</v>
      </c>
      <c r="H239" s="4" t="s">
        <v>4</v>
      </c>
      <c r="I239" s="4">
        <v>58.862000000000009</v>
      </c>
      <c r="J239" s="4"/>
      <c r="K239" s="11"/>
      <c r="L239" s="5"/>
    </row>
    <row r="240" spans="1:12" ht="45" customHeight="1" thickBot="1" x14ac:dyDescent="0.3">
      <c r="A240" s="3"/>
      <c r="B240" s="7" t="s">
        <v>7</v>
      </c>
      <c r="C240" s="7" t="s">
        <v>43</v>
      </c>
      <c r="D240" s="2" t="s">
        <v>142</v>
      </c>
      <c r="E240" s="7" t="s">
        <v>39</v>
      </c>
      <c r="F240" s="7" t="s">
        <v>247</v>
      </c>
      <c r="G240" s="7" t="s">
        <v>32</v>
      </c>
      <c r="H240" s="4" t="s">
        <v>4</v>
      </c>
      <c r="I240" s="4">
        <v>58.862000000000009</v>
      </c>
      <c r="J240" s="4"/>
      <c r="K240" s="11"/>
      <c r="L240" s="5"/>
    </row>
    <row r="241" spans="1:12" ht="45" customHeight="1" thickBot="1" x14ac:dyDescent="0.3">
      <c r="A241" s="3"/>
      <c r="B241" s="7" t="s">
        <v>7</v>
      </c>
      <c r="C241" s="7" t="s">
        <v>248</v>
      </c>
      <c r="D241" s="2" t="s">
        <v>49</v>
      </c>
      <c r="E241" s="7" t="s">
        <v>39</v>
      </c>
      <c r="F241" s="7" t="s">
        <v>247</v>
      </c>
      <c r="G241" s="7" t="s">
        <v>32</v>
      </c>
      <c r="H241" s="4" t="s">
        <v>4</v>
      </c>
      <c r="I241" s="4">
        <v>90.8</v>
      </c>
      <c r="J241" s="4"/>
      <c r="K241" s="11"/>
      <c r="L241" s="5" t="s">
        <v>249</v>
      </c>
    </row>
    <row r="242" spans="1:12" s="8" customFormat="1" ht="45" customHeight="1" thickBot="1" x14ac:dyDescent="0.3">
      <c r="A242" s="3"/>
      <c r="B242" s="7" t="s">
        <v>7</v>
      </c>
      <c r="C242" s="7" t="s">
        <v>10</v>
      </c>
      <c r="D242" s="10" t="s">
        <v>250</v>
      </c>
      <c r="E242" s="7" t="s">
        <v>39</v>
      </c>
      <c r="F242" s="7" t="s">
        <v>247</v>
      </c>
      <c r="G242" s="7" t="s">
        <v>32</v>
      </c>
      <c r="H242" s="4" t="s">
        <v>4</v>
      </c>
      <c r="I242" s="4">
        <v>10.458</v>
      </c>
      <c r="J242" s="2"/>
      <c r="K242" s="12"/>
      <c r="L242" s="27" t="s">
        <v>251</v>
      </c>
    </row>
    <row r="243" spans="1:12" s="8" customFormat="1" ht="45" customHeight="1" thickBot="1" x14ac:dyDescent="0.3">
      <c r="A243" s="3"/>
      <c r="B243" s="7" t="s">
        <v>7</v>
      </c>
      <c r="C243" s="7" t="s">
        <v>196</v>
      </c>
      <c r="D243" s="10" t="s">
        <v>250</v>
      </c>
      <c r="E243" s="7" t="s">
        <v>39</v>
      </c>
      <c r="F243" s="7" t="s">
        <v>247</v>
      </c>
      <c r="G243" s="7" t="s">
        <v>32</v>
      </c>
      <c r="H243" s="4" t="s">
        <v>4</v>
      </c>
      <c r="I243" s="4">
        <v>10.458</v>
      </c>
      <c r="J243" s="2"/>
      <c r="K243" s="12"/>
      <c r="L243" s="27" t="s">
        <v>251</v>
      </c>
    </row>
    <row r="244" spans="1:12" s="8" customFormat="1" ht="45" customHeight="1" thickBot="1" x14ac:dyDescent="0.3">
      <c r="A244" s="3"/>
      <c r="B244" s="7" t="s">
        <v>7</v>
      </c>
      <c r="C244" s="7" t="s">
        <v>12</v>
      </c>
      <c r="D244" s="10" t="s">
        <v>250</v>
      </c>
      <c r="E244" s="7" t="s">
        <v>39</v>
      </c>
      <c r="F244" s="7" t="s">
        <v>247</v>
      </c>
      <c r="G244" s="7" t="s">
        <v>32</v>
      </c>
      <c r="H244" s="4" t="s">
        <v>4</v>
      </c>
      <c r="I244" s="4">
        <v>10.458</v>
      </c>
      <c r="J244" s="2"/>
      <c r="K244" s="12"/>
      <c r="L244" s="27" t="s">
        <v>251</v>
      </c>
    </row>
    <row r="245" spans="1:12" s="8" customFormat="1" ht="45" customHeight="1" thickBot="1" x14ac:dyDescent="0.3">
      <c r="A245" s="3"/>
      <c r="B245" s="7" t="s">
        <v>7</v>
      </c>
      <c r="C245" s="7" t="s">
        <v>177</v>
      </c>
      <c r="D245" s="10" t="s">
        <v>250</v>
      </c>
      <c r="E245" s="7" t="s">
        <v>39</v>
      </c>
      <c r="F245" s="7" t="s">
        <v>247</v>
      </c>
      <c r="G245" s="7" t="s">
        <v>32</v>
      </c>
      <c r="H245" s="4" t="s">
        <v>4</v>
      </c>
      <c r="I245" s="4">
        <v>10.458</v>
      </c>
      <c r="J245" s="2"/>
      <c r="K245" s="12"/>
      <c r="L245" s="27" t="s">
        <v>251</v>
      </c>
    </row>
    <row r="246" spans="1:12" ht="45" customHeight="1" thickBot="1" x14ac:dyDescent="0.3">
      <c r="A246" s="3"/>
      <c r="B246" s="7" t="s">
        <v>7</v>
      </c>
      <c r="C246" s="7" t="s">
        <v>244</v>
      </c>
      <c r="D246" s="2" t="s">
        <v>77</v>
      </c>
      <c r="E246" s="7" t="s">
        <v>39</v>
      </c>
      <c r="F246" s="7" t="s">
        <v>247</v>
      </c>
      <c r="G246" s="7" t="s">
        <v>34</v>
      </c>
      <c r="H246" s="4" t="s">
        <v>4</v>
      </c>
      <c r="I246" s="4">
        <v>275.54000000000002</v>
      </c>
      <c r="J246" s="4"/>
      <c r="K246" s="11"/>
      <c r="L246" s="5"/>
    </row>
    <row r="247" spans="1:12" s="8" customFormat="1" ht="45" customHeight="1" thickBot="1" x14ac:dyDescent="0.3">
      <c r="A247" s="3"/>
      <c r="B247" s="7" t="s">
        <v>7</v>
      </c>
      <c r="C247" s="2" t="s">
        <v>252</v>
      </c>
      <c r="D247" s="10" t="s">
        <v>253</v>
      </c>
      <c r="E247" s="7" t="s">
        <v>39</v>
      </c>
      <c r="F247" s="7" t="s">
        <v>247</v>
      </c>
      <c r="G247" s="4" t="s">
        <v>34</v>
      </c>
      <c r="H247" s="4" t="s">
        <v>4</v>
      </c>
      <c r="I247" s="2">
        <v>422.18</v>
      </c>
      <c r="J247" s="2"/>
      <c r="K247" s="12"/>
      <c r="L247" s="6"/>
    </row>
    <row r="248" spans="1:12" s="8" customFormat="1" ht="45" customHeight="1" thickBot="1" x14ac:dyDescent="0.3">
      <c r="A248" s="3"/>
      <c r="B248" s="7" t="s">
        <v>7</v>
      </c>
      <c r="C248" s="2" t="s">
        <v>254</v>
      </c>
      <c r="D248" s="10" t="s">
        <v>49</v>
      </c>
      <c r="E248" s="7" t="s">
        <v>39</v>
      </c>
      <c r="F248" s="7" t="s">
        <v>247</v>
      </c>
      <c r="G248" s="4" t="s">
        <v>34</v>
      </c>
      <c r="H248" s="4" t="s">
        <v>4</v>
      </c>
      <c r="I248" s="2">
        <v>431.17</v>
      </c>
      <c r="J248" s="2"/>
      <c r="K248" s="12"/>
      <c r="L248" s="6" t="s">
        <v>249</v>
      </c>
    </row>
    <row r="249" spans="1:12" s="22" customFormat="1" ht="45" customHeight="1" thickBot="1" x14ac:dyDescent="0.3">
      <c r="A249" s="17"/>
      <c r="B249" s="19" t="s">
        <v>7</v>
      </c>
      <c r="C249" s="24" t="s">
        <v>144</v>
      </c>
      <c r="D249" s="29" t="s">
        <v>256</v>
      </c>
      <c r="E249" s="19" t="s">
        <v>39</v>
      </c>
      <c r="F249" s="19" t="s">
        <v>255</v>
      </c>
      <c r="G249" s="18" t="s">
        <v>32</v>
      </c>
      <c r="H249" s="18" t="s">
        <v>4</v>
      </c>
      <c r="I249" s="24">
        <v>761.56</v>
      </c>
      <c r="J249" s="24"/>
      <c r="K249" s="25"/>
      <c r="L249" s="26"/>
    </row>
    <row r="250" spans="1:12" s="8" customFormat="1" ht="45" customHeight="1" thickBot="1" x14ac:dyDescent="0.3">
      <c r="A250" s="3"/>
      <c r="B250" s="7" t="s">
        <v>258</v>
      </c>
      <c r="C250" s="2" t="s">
        <v>144</v>
      </c>
      <c r="D250" s="10" t="s">
        <v>257</v>
      </c>
      <c r="E250" s="7" t="s">
        <v>39</v>
      </c>
      <c r="F250" s="7" t="s">
        <v>255</v>
      </c>
      <c r="G250" s="4" t="s">
        <v>32</v>
      </c>
      <c r="H250" s="4" t="s">
        <v>4</v>
      </c>
      <c r="I250" s="2">
        <v>129.32599999999999</v>
      </c>
      <c r="J250" s="2"/>
      <c r="K250" s="12"/>
      <c r="L250" s="6"/>
    </row>
    <row r="251" spans="1:12" s="8" customFormat="1" ht="45" customHeight="1" thickBot="1" x14ac:dyDescent="0.3">
      <c r="A251" s="3"/>
      <c r="B251" s="7" t="s">
        <v>259</v>
      </c>
      <c r="C251" s="2" t="s">
        <v>141</v>
      </c>
      <c r="D251" s="10" t="s">
        <v>116</v>
      </c>
      <c r="E251" s="7" t="s">
        <v>39</v>
      </c>
      <c r="F251" s="7" t="s">
        <v>255</v>
      </c>
      <c r="G251" s="4" t="s">
        <v>32</v>
      </c>
      <c r="H251" s="4" t="s">
        <v>4</v>
      </c>
      <c r="I251" s="2">
        <v>173.94499999999999</v>
      </c>
      <c r="J251" s="2"/>
      <c r="K251" s="12"/>
      <c r="L251" s="6"/>
    </row>
    <row r="252" spans="1:12" s="8" customFormat="1" ht="45" customHeight="1" thickBot="1" x14ac:dyDescent="0.3">
      <c r="A252" s="3"/>
      <c r="B252" s="7" t="s">
        <v>7</v>
      </c>
      <c r="C252" s="2" t="s">
        <v>254</v>
      </c>
      <c r="D252" s="10" t="s">
        <v>261</v>
      </c>
      <c r="E252" s="7" t="s">
        <v>30</v>
      </c>
      <c r="F252" s="2" t="s">
        <v>260</v>
      </c>
      <c r="G252" s="7" t="s">
        <v>34</v>
      </c>
      <c r="H252" s="4" t="s">
        <v>4</v>
      </c>
      <c r="I252" s="2">
        <v>135.62200000000001</v>
      </c>
      <c r="J252" s="2"/>
      <c r="K252" s="12"/>
      <c r="L252" s="6"/>
    </row>
    <row r="253" spans="1:12" s="8" customFormat="1" ht="45" customHeight="1" thickBot="1" x14ac:dyDescent="0.3">
      <c r="A253" s="3"/>
      <c r="B253" s="7" t="s">
        <v>7</v>
      </c>
      <c r="C253" s="2" t="s">
        <v>262</v>
      </c>
      <c r="D253" s="10" t="s">
        <v>261</v>
      </c>
      <c r="E253" s="7" t="s">
        <v>30</v>
      </c>
      <c r="F253" s="2" t="s">
        <v>260</v>
      </c>
      <c r="G253" s="7" t="s">
        <v>34</v>
      </c>
      <c r="H253" s="4" t="s">
        <v>4</v>
      </c>
      <c r="I253" s="2">
        <v>16.29</v>
      </c>
      <c r="J253" s="2"/>
      <c r="K253" s="12"/>
      <c r="L253" s="6" t="s">
        <v>263</v>
      </c>
    </row>
    <row r="254" spans="1:12" s="8" customFormat="1" ht="45" customHeight="1" thickBot="1" x14ac:dyDescent="0.3">
      <c r="A254" s="3"/>
      <c r="B254" s="7" t="s">
        <v>7</v>
      </c>
      <c r="C254" s="2" t="s">
        <v>108</v>
      </c>
      <c r="D254" s="10" t="s">
        <v>264</v>
      </c>
      <c r="E254" s="7" t="s">
        <v>30</v>
      </c>
      <c r="F254" s="2" t="s">
        <v>260</v>
      </c>
      <c r="G254" s="7" t="s">
        <v>34</v>
      </c>
      <c r="H254" s="4" t="s">
        <v>4</v>
      </c>
      <c r="I254" s="2">
        <v>14.4</v>
      </c>
      <c r="J254" s="2"/>
      <c r="K254" s="12"/>
      <c r="L254" s="27" t="s">
        <v>265</v>
      </c>
    </row>
    <row r="255" spans="1:12" s="8" customFormat="1" ht="45" customHeight="1" thickBot="1" x14ac:dyDescent="0.3">
      <c r="A255" s="3"/>
      <c r="B255" s="7" t="s">
        <v>7</v>
      </c>
      <c r="C255" s="10" t="s">
        <v>266</v>
      </c>
      <c r="D255" s="10" t="s">
        <v>233</v>
      </c>
      <c r="E255" s="7" t="s">
        <v>30</v>
      </c>
      <c r="F255" s="2" t="s">
        <v>260</v>
      </c>
      <c r="G255" s="7" t="s">
        <v>34</v>
      </c>
      <c r="H255" s="4" t="s">
        <v>4</v>
      </c>
      <c r="I255" s="2">
        <v>66.599999999999994</v>
      </c>
      <c r="J255" s="2"/>
      <c r="K255" s="12"/>
      <c r="L255" s="6" t="s">
        <v>267</v>
      </c>
    </row>
    <row r="256" spans="1:12" s="8" customFormat="1" ht="45" customHeight="1" thickBot="1" x14ac:dyDescent="0.3">
      <c r="A256" s="3"/>
      <c r="B256" s="7" t="s">
        <v>7</v>
      </c>
      <c r="C256" s="10" t="s">
        <v>268</v>
      </c>
      <c r="D256" s="2" t="s">
        <v>241</v>
      </c>
      <c r="E256" s="7" t="s">
        <v>30</v>
      </c>
      <c r="F256" s="2" t="s">
        <v>260</v>
      </c>
      <c r="G256" s="7" t="s">
        <v>34</v>
      </c>
      <c r="H256" s="4" t="s">
        <v>4</v>
      </c>
      <c r="I256" s="2">
        <v>123.12</v>
      </c>
      <c r="J256" s="2"/>
      <c r="K256" s="12"/>
      <c r="L256" s="6"/>
    </row>
    <row r="257" spans="1:12" s="8" customFormat="1" ht="45" customHeight="1" thickBot="1" x14ac:dyDescent="0.3">
      <c r="A257" s="3"/>
      <c r="B257" s="7" t="s">
        <v>7</v>
      </c>
      <c r="C257" s="10" t="s">
        <v>29</v>
      </c>
      <c r="D257" s="10" t="s">
        <v>269</v>
      </c>
      <c r="E257" s="7" t="s">
        <v>30</v>
      </c>
      <c r="F257" s="2" t="s">
        <v>260</v>
      </c>
      <c r="G257" s="7" t="s">
        <v>34</v>
      </c>
      <c r="H257" s="4" t="s">
        <v>4</v>
      </c>
      <c r="I257" s="2">
        <v>38.44</v>
      </c>
      <c r="J257" s="2"/>
      <c r="K257" s="12"/>
      <c r="L257" s="6"/>
    </row>
    <row r="258" spans="1:12" s="8" customFormat="1" ht="45" customHeight="1" thickBot="1" x14ac:dyDescent="0.3">
      <c r="A258" s="3"/>
      <c r="B258" s="7" t="s">
        <v>7</v>
      </c>
      <c r="C258" s="4" t="s">
        <v>144</v>
      </c>
      <c r="D258" s="13">
        <v>101</v>
      </c>
      <c r="E258" s="7" t="s">
        <v>30</v>
      </c>
      <c r="F258" s="2" t="s">
        <v>260</v>
      </c>
      <c r="G258" s="7" t="s">
        <v>34</v>
      </c>
      <c r="H258" s="4" t="s">
        <v>4</v>
      </c>
      <c r="I258" s="2">
        <v>96.561499999999995</v>
      </c>
      <c r="J258" s="2"/>
      <c r="K258" s="12"/>
      <c r="L258" s="6"/>
    </row>
    <row r="259" spans="1:12" s="8" customFormat="1" ht="45" customHeight="1" thickBot="1" x14ac:dyDescent="0.3">
      <c r="A259" s="3"/>
      <c r="B259" s="7" t="s">
        <v>7</v>
      </c>
      <c r="C259" s="4" t="s">
        <v>144</v>
      </c>
      <c r="D259" s="13">
        <v>102</v>
      </c>
      <c r="E259" s="7" t="s">
        <v>30</v>
      </c>
      <c r="F259" s="2" t="s">
        <v>260</v>
      </c>
      <c r="G259" s="7" t="s">
        <v>34</v>
      </c>
      <c r="H259" s="4" t="s">
        <v>4</v>
      </c>
      <c r="I259" s="2">
        <v>96.561499999999995</v>
      </c>
      <c r="J259" s="2"/>
      <c r="K259" s="12"/>
      <c r="L259" s="6"/>
    </row>
    <row r="260" spans="1:12" s="8" customFormat="1" ht="45" customHeight="1" thickBot="1" x14ac:dyDescent="0.3">
      <c r="A260" s="3"/>
      <c r="B260" s="7" t="s">
        <v>7</v>
      </c>
      <c r="C260" s="4" t="s">
        <v>144</v>
      </c>
      <c r="D260" s="2" t="s">
        <v>11</v>
      </c>
      <c r="E260" s="7" t="s">
        <v>30</v>
      </c>
      <c r="F260" s="2" t="s">
        <v>260</v>
      </c>
      <c r="G260" s="4" t="s">
        <v>32</v>
      </c>
      <c r="H260" s="4" t="s">
        <v>4</v>
      </c>
      <c r="I260" s="2">
        <v>220.34719999999999</v>
      </c>
      <c r="J260" s="2"/>
      <c r="K260" s="12"/>
      <c r="L260" s="6"/>
    </row>
    <row r="261" spans="1:12" s="8" customFormat="1" ht="45" customHeight="1" thickBot="1" x14ac:dyDescent="0.3">
      <c r="A261" s="3"/>
      <c r="B261" s="7" t="s">
        <v>7</v>
      </c>
      <c r="C261" s="4" t="s">
        <v>144</v>
      </c>
      <c r="D261" s="10" t="s">
        <v>270</v>
      </c>
      <c r="E261" s="7" t="s">
        <v>30</v>
      </c>
      <c r="F261" s="2" t="s">
        <v>260</v>
      </c>
      <c r="G261" s="4" t="s">
        <v>32</v>
      </c>
      <c r="H261" s="4" t="s">
        <v>4</v>
      </c>
      <c r="I261" s="2">
        <v>111.949</v>
      </c>
      <c r="J261" s="2"/>
      <c r="K261" s="12"/>
      <c r="L261" s="6"/>
    </row>
    <row r="262" spans="1:12" s="41" customFormat="1" ht="45" customHeight="1" thickBot="1" x14ac:dyDescent="0.3">
      <c r="A262" s="35"/>
      <c r="B262" s="36" t="s">
        <v>7</v>
      </c>
      <c r="C262" s="36" t="s">
        <v>271</v>
      </c>
      <c r="D262" s="37" t="s">
        <v>8</v>
      </c>
      <c r="E262" s="36" t="s">
        <v>39</v>
      </c>
      <c r="F262" s="36" t="s">
        <v>52</v>
      </c>
      <c r="G262" s="36" t="s">
        <v>32</v>
      </c>
      <c r="H262" s="38" t="s">
        <v>4</v>
      </c>
      <c r="I262" s="38">
        <v>497.69799999999998</v>
      </c>
      <c r="J262" s="38"/>
      <c r="K262" s="39"/>
      <c r="L262" s="40" t="s">
        <v>272</v>
      </c>
    </row>
    <row r="263" spans="1:12" s="8" customFormat="1" ht="45" customHeight="1" thickBot="1" x14ac:dyDescent="0.3">
      <c r="A263" s="3"/>
      <c r="B263" s="7" t="s">
        <v>7</v>
      </c>
      <c r="C263" s="4" t="s">
        <v>273</v>
      </c>
      <c r="D263" s="2" t="s">
        <v>49</v>
      </c>
      <c r="E263" s="7" t="s">
        <v>39</v>
      </c>
      <c r="F263" s="2" t="s">
        <v>52</v>
      </c>
      <c r="G263" s="7" t="s">
        <v>32</v>
      </c>
      <c r="H263" s="4" t="s">
        <v>4</v>
      </c>
      <c r="I263" s="2">
        <v>310.67</v>
      </c>
      <c r="J263" s="2"/>
      <c r="K263" s="12"/>
      <c r="L263" s="6"/>
    </row>
    <row r="264" spans="1:12" ht="45" customHeight="1" thickBot="1" x14ac:dyDescent="0.3">
      <c r="A264" s="3"/>
      <c r="B264" s="7" t="s">
        <v>7</v>
      </c>
      <c r="C264" s="4" t="s">
        <v>80</v>
      </c>
      <c r="D264" s="2" t="s">
        <v>37</v>
      </c>
      <c r="E264" s="7" t="s">
        <v>39</v>
      </c>
      <c r="F264" s="2" t="s">
        <v>52</v>
      </c>
      <c r="G264" s="7" t="s">
        <v>32</v>
      </c>
      <c r="H264" s="4" t="s">
        <v>4</v>
      </c>
      <c r="I264" s="4">
        <v>31.2</v>
      </c>
      <c r="J264" s="4">
        <v>64.08</v>
      </c>
      <c r="K264" s="11">
        <f t="shared" ref="K264" si="1">I264-J264</f>
        <v>-32.879999999999995</v>
      </c>
      <c r="L264" s="5" t="s">
        <v>274</v>
      </c>
    </row>
    <row r="265" spans="1:12" ht="45" customHeight="1" thickBot="1" x14ac:dyDescent="0.3">
      <c r="A265" s="3"/>
      <c r="B265" s="7" t="s">
        <v>7</v>
      </c>
      <c r="C265" s="4" t="s">
        <v>108</v>
      </c>
      <c r="D265" s="2" t="s">
        <v>37</v>
      </c>
      <c r="E265" s="7" t="s">
        <v>39</v>
      </c>
      <c r="F265" s="2" t="s">
        <v>52</v>
      </c>
      <c r="G265" s="7" t="s">
        <v>32</v>
      </c>
      <c r="H265" s="4" t="s">
        <v>4</v>
      </c>
      <c r="I265" s="4">
        <v>52.78</v>
      </c>
      <c r="J265" s="4">
        <v>64.08</v>
      </c>
      <c r="K265" s="11">
        <f t="shared" ref="K265" si="2">I265-J265</f>
        <v>-11.299999999999997</v>
      </c>
      <c r="L265" s="5" t="s">
        <v>275</v>
      </c>
    </row>
    <row r="266" spans="1:12" ht="45" customHeight="1" thickBot="1" x14ac:dyDescent="0.3">
      <c r="A266" s="3"/>
      <c r="B266" s="7" t="s">
        <v>7</v>
      </c>
      <c r="C266" s="4" t="s">
        <v>276</v>
      </c>
      <c r="D266" s="2" t="s">
        <v>37</v>
      </c>
      <c r="E266" s="7" t="s">
        <v>39</v>
      </c>
      <c r="F266" s="2" t="s">
        <v>52</v>
      </c>
      <c r="G266" s="7" t="s">
        <v>32</v>
      </c>
      <c r="H266" s="4" t="s">
        <v>4</v>
      </c>
      <c r="I266" s="4">
        <v>81.542500000000004</v>
      </c>
      <c r="J266" s="4">
        <v>64.08</v>
      </c>
      <c r="K266" s="11">
        <f t="shared" ref="K266" si="3">I266-J266</f>
        <v>17.462500000000006</v>
      </c>
      <c r="L266" s="5" t="s">
        <v>277</v>
      </c>
    </row>
    <row r="267" spans="1:12" ht="45" customHeight="1" thickBot="1" x14ac:dyDescent="0.3">
      <c r="A267" s="3"/>
      <c r="B267" s="7" t="s">
        <v>7</v>
      </c>
      <c r="C267" s="4" t="s">
        <v>276</v>
      </c>
      <c r="D267" s="2" t="s">
        <v>37</v>
      </c>
      <c r="E267" s="7" t="s">
        <v>39</v>
      </c>
      <c r="F267" s="2" t="s">
        <v>52</v>
      </c>
      <c r="G267" s="7" t="s">
        <v>32</v>
      </c>
      <c r="H267" s="4" t="s">
        <v>4</v>
      </c>
      <c r="I267" s="4">
        <v>49.854999999999997</v>
      </c>
      <c r="J267" s="4">
        <v>64.08</v>
      </c>
      <c r="K267" s="11">
        <f t="shared" ref="K267" si="4">I267-J267</f>
        <v>-14.225000000000001</v>
      </c>
      <c r="L267" s="5" t="s">
        <v>278</v>
      </c>
    </row>
    <row r="268" spans="1:12" ht="45" customHeight="1" thickBot="1" x14ac:dyDescent="0.3">
      <c r="A268" s="3"/>
      <c r="B268" s="7" t="s">
        <v>7</v>
      </c>
      <c r="C268" s="4" t="s">
        <v>280</v>
      </c>
      <c r="D268" s="2" t="s">
        <v>37</v>
      </c>
      <c r="E268" s="7" t="s">
        <v>39</v>
      </c>
      <c r="F268" s="2" t="s">
        <v>52</v>
      </c>
      <c r="G268" s="7" t="s">
        <v>32</v>
      </c>
      <c r="H268" s="4" t="s">
        <v>4</v>
      </c>
      <c r="I268" s="4">
        <v>69.42</v>
      </c>
      <c r="J268" s="4">
        <v>64.08</v>
      </c>
      <c r="K268" s="11">
        <f t="shared" ref="K268" si="5">I268-J268</f>
        <v>5.3400000000000034</v>
      </c>
      <c r="L268" s="5" t="s">
        <v>279</v>
      </c>
    </row>
    <row r="269" spans="1:12" ht="45" customHeight="1" thickBot="1" x14ac:dyDescent="0.3">
      <c r="A269" s="3"/>
      <c r="B269" s="7" t="s">
        <v>7</v>
      </c>
      <c r="C269" s="4" t="s">
        <v>43</v>
      </c>
      <c r="D269" s="2" t="s">
        <v>37</v>
      </c>
      <c r="E269" s="7" t="s">
        <v>39</v>
      </c>
      <c r="F269" s="2" t="s">
        <v>52</v>
      </c>
      <c r="G269" s="7" t="s">
        <v>32</v>
      </c>
      <c r="H269" s="4" t="s">
        <v>4</v>
      </c>
      <c r="I269" s="4">
        <v>4.7125000000000004</v>
      </c>
      <c r="J269" s="4">
        <v>64.08</v>
      </c>
      <c r="K269" s="11">
        <f t="shared" ref="K269:K270" si="6">I269-J269</f>
        <v>-59.3675</v>
      </c>
      <c r="L269" s="5" t="s">
        <v>279</v>
      </c>
    </row>
    <row r="270" spans="1:12" ht="45" customHeight="1" thickBot="1" x14ac:dyDescent="0.3">
      <c r="A270" s="3"/>
      <c r="B270" s="7" t="s">
        <v>7</v>
      </c>
      <c r="C270" s="4" t="s">
        <v>276</v>
      </c>
      <c r="D270" s="2" t="s">
        <v>37</v>
      </c>
      <c r="E270" s="7" t="s">
        <v>39</v>
      </c>
      <c r="F270" s="2" t="s">
        <v>52</v>
      </c>
      <c r="G270" s="7" t="s">
        <v>32</v>
      </c>
      <c r="H270" s="4" t="s">
        <v>4</v>
      </c>
      <c r="I270" s="4">
        <v>91.26</v>
      </c>
      <c r="J270" s="4">
        <v>64.08</v>
      </c>
      <c r="K270" s="11">
        <f t="shared" si="6"/>
        <v>27.180000000000007</v>
      </c>
      <c r="L270" s="5" t="s">
        <v>281</v>
      </c>
    </row>
    <row r="271" spans="1:12" s="8" customFormat="1" ht="45" customHeight="1" thickBot="1" x14ac:dyDescent="0.3">
      <c r="A271" s="3"/>
      <c r="B271" s="7" t="s">
        <v>7</v>
      </c>
      <c r="C271" s="4" t="s">
        <v>107</v>
      </c>
      <c r="D271" s="2" t="s">
        <v>77</v>
      </c>
      <c r="E271" s="7" t="s">
        <v>39</v>
      </c>
      <c r="F271" s="2" t="s">
        <v>52</v>
      </c>
      <c r="G271" s="7" t="s">
        <v>34</v>
      </c>
      <c r="H271" s="4" t="s">
        <v>4</v>
      </c>
      <c r="I271" s="2">
        <v>202.95</v>
      </c>
      <c r="J271" s="2"/>
      <c r="K271" s="12"/>
      <c r="L271" s="27" t="s">
        <v>282</v>
      </c>
    </row>
    <row r="272" spans="1:12" s="34" customFormat="1" ht="45" customHeight="1" thickBot="1" x14ac:dyDescent="0.3">
      <c r="A272" s="30"/>
      <c r="B272" s="31" t="s">
        <v>7</v>
      </c>
      <c r="C272" s="33" t="s">
        <v>283</v>
      </c>
      <c r="D272" s="32" t="s">
        <v>284</v>
      </c>
      <c r="E272" s="31" t="s">
        <v>39</v>
      </c>
      <c r="F272" s="32" t="s">
        <v>238</v>
      </c>
      <c r="G272" s="31" t="s">
        <v>32</v>
      </c>
      <c r="H272" s="33" t="s">
        <v>4</v>
      </c>
      <c r="I272" s="32">
        <f>10.24+6.4</f>
        <v>16.64</v>
      </c>
      <c r="J272" s="32"/>
      <c r="K272" s="42"/>
      <c r="L272" s="43" t="s">
        <v>285</v>
      </c>
    </row>
    <row r="273" spans="1:12" s="8" customFormat="1" ht="45" customHeight="1" thickBot="1" x14ac:dyDescent="0.3">
      <c r="A273" s="3"/>
      <c r="B273" s="7" t="s">
        <v>7</v>
      </c>
      <c r="C273" s="4" t="s">
        <v>283</v>
      </c>
      <c r="D273" s="2" t="s">
        <v>36</v>
      </c>
      <c r="E273" s="7" t="s">
        <v>39</v>
      </c>
      <c r="F273" s="2" t="s">
        <v>238</v>
      </c>
      <c r="G273" s="7" t="s">
        <v>32</v>
      </c>
      <c r="H273" s="4" t="s">
        <v>4</v>
      </c>
      <c r="I273" s="2">
        <v>43.89</v>
      </c>
      <c r="J273" s="2"/>
      <c r="K273" s="12"/>
      <c r="L273" s="27"/>
    </row>
    <row r="274" spans="1:12" s="8" customFormat="1" ht="45" customHeight="1" thickBot="1" x14ac:dyDescent="0.3">
      <c r="A274" s="3"/>
      <c r="B274" s="7" t="s">
        <v>7</v>
      </c>
      <c r="C274" s="4" t="s">
        <v>283</v>
      </c>
      <c r="D274" s="2" t="s">
        <v>286</v>
      </c>
      <c r="E274" s="7" t="s">
        <v>39</v>
      </c>
      <c r="F274" s="2" t="s">
        <v>238</v>
      </c>
      <c r="G274" s="7" t="s">
        <v>32</v>
      </c>
      <c r="H274" s="4" t="s">
        <v>4</v>
      </c>
      <c r="I274" s="2">
        <v>149.51000000000002</v>
      </c>
      <c r="J274" s="2"/>
      <c r="K274" s="12"/>
      <c r="L274" s="27" t="s">
        <v>287</v>
      </c>
    </row>
    <row r="275" spans="1:12" s="8" customFormat="1" ht="45" customHeight="1" thickBot="1" x14ac:dyDescent="0.3">
      <c r="A275" s="3"/>
      <c r="B275" s="7" t="s">
        <v>7</v>
      </c>
      <c r="C275" s="4" t="s">
        <v>283</v>
      </c>
      <c r="D275" s="2" t="s">
        <v>288</v>
      </c>
      <c r="E275" s="7" t="s">
        <v>39</v>
      </c>
      <c r="F275" s="2" t="s">
        <v>238</v>
      </c>
      <c r="G275" s="7" t="s">
        <v>32</v>
      </c>
      <c r="H275" s="4" t="s">
        <v>4</v>
      </c>
      <c r="I275" s="2">
        <v>209.3</v>
      </c>
      <c r="J275" s="2"/>
      <c r="K275" s="12"/>
      <c r="L275" s="27"/>
    </row>
    <row r="276" spans="1:12" s="8" customFormat="1" ht="45" customHeight="1" thickBot="1" x14ac:dyDescent="0.3">
      <c r="A276" s="3"/>
      <c r="B276" s="7" t="s">
        <v>7</v>
      </c>
      <c r="C276" s="4" t="s">
        <v>141</v>
      </c>
      <c r="D276" s="2" t="s">
        <v>116</v>
      </c>
      <c r="E276" s="7" t="s">
        <v>39</v>
      </c>
      <c r="F276" s="2" t="s">
        <v>238</v>
      </c>
      <c r="G276" s="7" t="s">
        <v>32</v>
      </c>
      <c r="H276" s="4" t="s">
        <v>4</v>
      </c>
      <c r="I276" s="2">
        <v>11.540000000000003</v>
      </c>
      <c r="J276" s="2"/>
      <c r="K276" s="12"/>
      <c r="L276" s="27"/>
    </row>
    <row r="277" spans="1:12" s="8" customFormat="1" ht="45" customHeight="1" thickBot="1" x14ac:dyDescent="0.3">
      <c r="A277" s="3"/>
      <c r="B277" s="7" t="s">
        <v>258</v>
      </c>
      <c r="C277" s="4" t="s">
        <v>141</v>
      </c>
      <c r="D277" s="2" t="s">
        <v>116</v>
      </c>
      <c r="E277" s="7" t="s">
        <v>39</v>
      </c>
      <c r="F277" s="2" t="s">
        <v>238</v>
      </c>
      <c r="G277" s="7" t="s">
        <v>32</v>
      </c>
      <c r="H277" s="4" t="s">
        <v>4</v>
      </c>
      <c r="I277" s="2">
        <v>11.540000000000003</v>
      </c>
      <c r="J277" s="2"/>
      <c r="K277" s="12"/>
      <c r="L277" s="27"/>
    </row>
    <row r="278" spans="1:12" s="8" customFormat="1" ht="45" customHeight="1" thickBot="1" x14ac:dyDescent="0.3">
      <c r="A278" s="3"/>
      <c r="B278" s="7" t="s">
        <v>258</v>
      </c>
      <c r="C278" s="4" t="s">
        <v>141</v>
      </c>
      <c r="D278" s="2" t="s">
        <v>289</v>
      </c>
      <c r="E278" s="7" t="s">
        <v>39</v>
      </c>
      <c r="F278" s="2" t="s">
        <v>238</v>
      </c>
      <c r="G278" s="7" t="s">
        <v>32</v>
      </c>
      <c r="H278" s="4" t="s">
        <v>4</v>
      </c>
      <c r="I278" s="2">
        <v>10.54</v>
      </c>
      <c r="J278" s="2"/>
      <c r="K278" s="12"/>
      <c r="L278" s="27"/>
    </row>
    <row r="279" spans="1:12" s="8" customFormat="1" ht="45" customHeight="1" thickBot="1" x14ac:dyDescent="0.3">
      <c r="A279" s="3"/>
      <c r="B279" s="7" t="s">
        <v>7</v>
      </c>
      <c r="C279" s="2" t="s">
        <v>14</v>
      </c>
      <c r="D279" s="15" t="s">
        <v>170</v>
      </c>
      <c r="E279" s="7" t="s">
        <v>39</v>
      </c>
      <c r="F279" s="2" t="s">
        <v>238</v>
      </c>
      <c r="G279" s="2" t="s">
        <v>154</v>
      </c>
      <c r="H279" s="4" t="s">
        <v>4</v>
      </c>
      <c r="I279" s="2">
        <v>26.1</v>
      </c>
      <c r="J279" s="2"/>
      <c r="K279" s="12"/>
      <c r="L279" s="6"/>
    </row>
    <row r="280" spans="1:12" ht="45" customHeight="1" thickBot="1" x14ac:dyDescent="0.3">
      <c r="A280" s="3"/>
      <c r="B280" s="7" t="s">
        <v>7</v>
      </c>
      <c r="C280" s="4" t="s">
        <v>38</v>
      </c>
      <c r="D280" s="2" t="s">
        <v>37</v>
      </c>
      <c r="E280" s="7" t="s">
        <v>39</v>
      </c>
      <c r="F280" s="2" t="s">
        <v>238</v>
      </c>
      <c r="G280" s="7" t="s">
        <v>32</v>
      </c>
      <c r="H280" s="4" t="s">
        <v>4</v>
      </c>
      <c r="I280" s="4">
        <v>55.210999999999999</v>
      </c>
      <c r="J280" s="4">
        <v>64.08</v>
      </c>
      <c r="K280" s="11">
        <f t="shared" ref="K280" si="7">I280-J280</f>
        <v>-8.8689999999999998</v>
      </c>
      <c r="L280" s="44" t="s">
        <v>290</v>
      </c>
    </row>
    <row r="281" spans="1:12" ht="45" customHeight="1" thickBot="1" x14ac:dyDescent="0.3">
      <c r="A281" s="3"/>
      <c r="B281" s="7" t="s">
        <v>7</v>
      </c>
      <c r="C281" s="4" t="s">
        <v>38</v>
      </c>
      <c r="D281" s="2" t="s">
        <v>11</v>
      </c>
      <c r="E281" s="7" t="s">
        <v>39</v>
      </c>
      <c r="F281" s="2" t="s">
        <v>238</v>
      </c>
      <c r="G281" s="7" t="s">
        <v>32</v>
      </c>
      <c r="H281" s="4" t="s">
        <v>4</v>
      </c>
      <c r="I281" s="4">
        <v>28.92</v>
      </c>
      <c r="J281" s="4">
        <v>64.08</v>
      </c>
      <c r="K281" s="11">
        <f t="shared" ref="K281" si="8">I281-J281</f>
        <v>-35.159999999999997</v>
      </c>
      <c r="L281" s="44"/>
    </row>
    <row r="282" spans="1:12" s="8" customFormat="1" ht="45" customHeight="1" thickBot="1" x14ac:dyDescent="0.3">
      <c r="A282" s="3"/>
      <c r="B282" s="7" t="s">
        <v>7</v>
      </c>
      <c r="C282" s="2" t="s">
        <v>291</v>
      </c>
      <c r="D282" s="10" t="s">
        <v>253</v>
      </c>
      <c r="E282" s="7" t="s">
        <v>39</v>
      </c>
      <c r="F282" s="2" t="s">
        <v>238</v>
      </c>
      <c r="G282" s="7" t="s">
        <v>34</v>
      </c>
      <c r="H282" s="4" t="s">
        <v>4</v>
      </c>
      <c r="I282" s="2">
        <v>24.24</v>
      </c>
      <c r="J282" s="2"/>
      <c r="K282" s="12"/>
      <c r="L282" s="6" t="s">
        <v>263</v>
      </c>
    </row>
    <row r="283" spans="1:12" s="8" customFormat="1" ht="45" customHeight="1" thickBot="1" x14ac:dyDescent="0.3">
      <c r="A283" s="3"/>
      <c r="B283" s="7" t="s">
        <v>7</v>
      </c>
      <c r="C283" s="2" t="s">
        <v>244</v>
      </c>
      <c r="D283" s="10" t="s">
        <v>253</v>
      </c>
      <c r="E283" s="7" t="s">
        <v>39</v>
      </c>
      <c r="F283" s="2" t="s">
        <v>238</v>
      </c>
      <c r="G283" s="7" t="s">
        <v>34</v>
      </c>
      <c r="H283" s="4" t="s">
        <v>4</v>
      </c>
      <c r="I283" s="2">
        <v>12.015000000000001</v>
      </c>
      <c r="J283" s="2"/>
      <c r="K283" s="12"/>
      <c r="L283" s="27" t="s">
        <v>292</v>
      </c>
    </row>
    <row r="284" spans="1:12" s="8" customFormat="1" ht="45" customHeight="1" thickBot="1" x14ac:dyDescent="0.3">
      <c r="A284" s="3"/>
      <c r="B284" s="7" t="s">
        <v>7</v>
      </c>
      <c r="C284" s="2" t="s">
        <v>293</v>
      </c>
      <c r="D284" s="10" t="s">
        <v>261</v>
      </c>
      <c r="E284" s="7" t="s">
        <v>39</v>
      </c>
      <c r="F284" s="2" t="s">
        <v>238</v>
      </c>
      <c r="G284" s="7" t="s">
        <v>34</v>
      </c>
      <c r="H284" s="4" t="s">
        <v>4</v>
      </c>
      <c r="I284" s="2">
        <v>192</v>
      </c>
      <c r="J284" s="2"/>
      <c r="K284" s="12"/>
      <c r="L284" s="6"/>
    </row>
    <row r="285" spans="1:12" s="8" customFormat="1" ht="45" customHeight="1" thickBot="1" x14ac:dyDescent="0.3">
      <c r="A285" s="3"/>
      <c r="B285" s="7" t="s">
        <v>7</v>
      </c>
      <c r="C285" s="4" t="s">
        <v>166</v>
      </c>
      <c r="D285" s="2" t="s">
        <v>49</v>
      </c>
      <c r="E285" s="7" t="s">
        <v>39</v>
      </c>
      <c r="F285" s="2" t="s">
        <v>238</v>
      </c>
      <c r="G285" s="7" t="s">
        <v>34</v>
      </c>
      <c r="H285" s="4" t="s">
        <v>4</v>
      </c>
      <c r="I285" s="2">
        <v>570.35</v>
      </c>
      <c r="J285" s="2"/>
      <c r="K285" s="12"/>
      <c r="L285" s="6"/>
    </row>
    <row r="286" spans="1:12" s="8" customFormat="1" ht="45" customHeight="1" thickBot="1" x14ac:dyDescent="0.3">
      <c r="A286" s="3"/>
      <c r="B286" s="7" t="s">
        <v>7</v>
      </c>
      <c r="C286" s="4" t="s">
        <v>144</v>
      </c>
      <c r="D286" s="13">
        <v>103</v>
      </c>
      <c r="E286" s="7" t="s">
        <v>39</v>
      </c>
      <c r="F286" s="2" t="s">
        <v>62</v>
      </c>
      <c r="G286" s="7" t="s">
        <v>32</v>
      </c>
      <c r="H286" s="4" t="s">
        <v>4</v>
      </c>
      <c r="I286" s="2">
        <v>412.63499999999999</v>
      </c>
      <c r="J286" s="2"/>
      <c r="K286" s="12"/>
      <c r="L286" s="6"/>
    </row>
    <row r="287" spans="1:12" ht="45" customHeight="1" thickBot="1" x14ac:dyDescent="0.3">
      <c r="A287" s="3"/>
      <c r="B287" s="7" t="s">
        <v>7</v>
      </c>
      <c r="C287" s="4" t="s">
        <v>38</v>
      </c>
      <c r="D287" s="2" t="s">
        <v>11</v>
      </c>
      <c r="E287" s="7" t="s">
        <v>39</v>
      </c>
      <c r="F287" s="2" t="s">
        <v>62</v>
      </c>
      <c r="G287" s="7" t="s">
        <v>32</v>
      </c>
      <c r="H287" s="4" t="s">
        <v>4</v>
      </c>
      <c r="I287" s="4">
        <v>26.58</v>
      </c>
      <c r="J287" s="4">
        <v>64.08</v>
      </c>
      <c r="K287" s="11">
        <f t="shared" ref="K287" si="9">I287-J287</f>
        <v>-37.5</v>
      </c>
      <c r="L287" s="44"/>
    </row>
    <row r="288" spans="1:12" s="8" customFormat="1" ht="45" customHeight="1" thickBot="1" x14ac:dyDescent="0.3">
      <c r="A288" s="3"/>
      <c r="B288" s="7" t="s">
        <v>7</v>
      </c>
      <c r="C288" s="4" t="s">
        <v>144</v>
      </c>
      <c r="D288" s="13">
        <v>103</v>
      </c>
      <c r="E288" s="7" t="s">
        <v>39</v>
      </c>
      <c r="F288" s="2" t="s">
        <v>62</v>
      </c>
      <c r="G288" s="7" t="s">
        <v>34</v>
      </c>
      <c r="H288" s="4" t="s">
        <v>4</v>
      </c>
      <c r="I288" s="2">
        <v>58.085000000000001</v>
      </c>
      <c r="J288" s="2"/>
      <c r="K288" s="12"/>
      <c r="L288" s="6"/>
    </row>
    <row r="289" spans="1:12" s="8" customFormat="1" ht="45" customHeight="1" thickBot="1" x14ac:dyDescent="0.3">
      <c r="A289" s="3"/>
      <c r="B289" s="7" t="s">
        <v>7</v>
      </c>
      <c r="C289" s="4" t="s">
        <v>38</v>
      </c>
      <c r="D289" s="13">
        <v>206</v>
      </c>
      <c r="E289" s="7" t="s">
        <v>39</v>
      </c>
      <c r="F289" s="2" t="s">
        <v>62</v>
      </c>
      <c r="G289" s="7" t="s">
        <v>34</v>
      </c>
      <c r="H289" s="4" t="s">
        <v>4</v>
      </c>
      <c r="I289" s="2">
        <f>63.475-19.84</f>
        <v>43.635000000000005</v>
      </c>
      <c r="J289" s="2"/>
      <c r="K289" s="12"/>
      <c r="L289" s="6"/>
    </row>
    <row r="290" spans="1:12" s="8" customFormat="1" ht="45" customHeight="1" thickBot="1" x14ac:dyDescent="0.3">
      <c r="A290" s="3"/>
      <c r="B290" s="7" t="s">
        <v>7</v>
      </c>
      <c r="C290" s="4" t="s">
        <v>38</v>
      </c>
      <c r="D290" s="10" t="s">
        <v>243</v>
      </c>
      <c r="E290" s="7" t="s">
        <v>39</v>
      </c>
      <c r="F290" s="2" t="s">
        <v>62</v>
      </c>
      <c r="G290" s="7" t="s">
        <v>34</v>
      </c>
      <c r="H290" s="4" t="s">
        <v>4</v>
      </c>
      <c r="I290" s="2">
        <v>19.84</v>
      </c>
      <c r="J290" s="2"/>
      <c r="K290" s="12"/>
      <c r="L290" s="6"/>
    </row>
    <row r="291" spans="1:12" s="8" customFormat="1" ht="45" customHeight="1" thickBot="1" x14ac:dyDescent="0.3">
      <c r="A291" s="3"/>
      <c r="B291" s="7" t="s">
        <v>7</v>
      </c>
      <c r="C291" s="4" t="s">
        <v>43</v>
      </c>
      <c r="D291" s="13">
        <v>1801</v>
      </c>
      <c r="E291" s="7" t="s">
        <v>39</v>
      </c>
      <c r="F291" s="2" t="s">
        <v>62</v>
      </c>
      <c r="G291" s="7" t="s">
        <v>34</v>
      </c>
      <c r="H291" s="4" t="s">
        <v>4</v>
      </c>
      <c r="I291" s="2">
        <v>35.899000000000001</v>
      </c>
      <c r="J291" s="2"/>
      <c r="K291" s="12"/>
      <c r="L291" s="6"/>
    </row>
    <row r="292" spans="1:12" s="8" customFormat="1" ht="45" customHeight="1" thickBot="1" x14ac:dyDescent="0.3">
      <c r="A292" s="3"/>
      <c r="B292" s="7" t="s">
        <v>7</v>
      </c>
      <c r="C292" s="4" t="s">
        <v>43</v>
      </c>
      <c r="D292" s="13">
        <v>1802</v>
      </c>
      <c r="E292" s="7" t="s">
        <v>39</v>
      </c>
      <c r="F292" s="2" t="s">
        <v>62</v>
      </c>
      <c r="G292" s="7" t="s">
        <v>34</v>
      </c>
      <c r="H292" s="4" t="s">
        <v>4</v>
      </c>
      <c r="I292" s="2">
        <v>35.899000000000001</v>
      </c>
      <c r="J292" s="2"/>
      <c r="K292" s="12"/>
      <c r="L292" s="6"/>
    </row>
    <row r="293" spans="1:12" s="8" customFormat="1" ht="45" customHeight="1" thickBot="1" x14ac:dyDescent="0.3">
      <c r="A293" s="3"/>
      <c r="B293" s="7" t="s">
        <v>7</v>
      </c>
      <c r="C293" s="4" t="s">
        <v>43</v>
      </c>
      <c r="D293" s="13">
        <v>1803</v>
      </c>
      <c r="E293" s="7" t="s">
        <v>39</v>
      </c>
      <c r="F293" s="2" t="s">
        <v>62</v>
      </c>
      <c r="G293" s="7" t="s">
        <v>34</v>
      </c>
      <c r="H293" s="4" t="s">
        <v>4</v>
      </c>
      <c r="I293" s="2">
        <v>27.568000000000001</v>
      </c>
      <c r="J293" s="2"/>
      <c r="K293" s="12"/>
      <c r="L293" s="6"/>
    </row>
    <row r="294" spans="1:12" s="8" customFormat="1" ht="45" customHeight="1" thickBot="1" x14ac:dyDescent="0.3">
      <c r="A294" s="3"/>
      <c r="B294" s="7" t="s">
        <v>7</v>
      </c>
      <c r="C294" s="4" t="s">
        <v>291</v>
      </c>
      <c r="D294" s="2" t="s">
        <v>241</v>
      </c>
      <c r="E294" s="7" t="s">
        <v>39</v>
      </c>
      <c r="F294" s="2" t="s">
        <v>62</v>
      </c>
      <c r="G294" s="7" t="s">
        <v>34</v>
      </c>
      <c r="H294" s="4" t="s">
        <v>4</v>
      </c>
      <c r="I294" s="2">
        <v>340.48</v>
      </c>
      <c r="J294" s="2"/>
      <c r="K294" s="12"/>
      <c r="L294" s="27"/>
    </row>
    <row r="295" spans="1:12" s="8" customFormat="1" ht="45" customHeight="1" thickBot="1" x14ac:dyDescent="0.3">
      <c r="A295" s="3"/>
      <c r="B295" s="7" t="s">
        <v>7</v>
      </c>
      <c r="C295" s="2" t="s">
        <v>295</v>
      </c>
      <c r="D295" s="10" t="s">
        <v>253</v>
      </c>
      <c r="E295" s="7" t="s">
        <v>51</v>
      </c>
      <c r="F295" s="2" t="s">
        <v>296</v>
      </c>
      <c r="G295" s="7" t="s">
        <v>34</v>
      </c>
      <c r="H295" s="4" t="s">
        <v>4</v>
      </c>
      <c r="I295" s="2">
        <v>95.754000000000005</v>
      </c>
      <c r="J295" s="2"/>
      <c r="K295" s="12"/>
      <c r="L295" s="6" t="s">
        <v>267</v>
      </c>
    </row>
    <row r="296" spans="1:12" s="8" customFormat="1" ht="45" customHeight="1" thickBot="1" x14ac:dyDescent="0.3">
      <c r="A296" s="3"/>
      <c r="B296" s="7" t="s">
        <v>7</v>
      </c>
      <c r="C296" s="2" t="s">
        <v>295</v>
      </c>
      <c r="D296" s="10" t="s">
        <v>261</v>
      </c>
      <c r="E296" s="7" t="s">
        <v>51</v>
      </c>
      <c r="F296" s="2" t="s">
        <v>296</v>
      </c>
      <c r="G296" s="7" t="s">
        <v>34</v>
      </c>
      <c r="H296" s="4" t="s">
        <v>4</v>
      </c>
      <c r="I296" s="2">
        <v>72.507000000000005</v>
      </c>
      <c r="J296" s="2"/>
      <c r="K296" s="12"/>
      <c r="L296" s="6" t="s">
        <v>267</v>
      </c>
    </row>
    <row r="297" spans="1:12" s="8" customFormat="1" ht="45" customHeight="1" thickBot="1" x14ac:dyDescent="0.3">
      <c r="A297" s="3"/>
      <c r="B297" s="7" t="s">
        <v>7</v>
      </c>
      <c r="C297" s="2" t="s">
        <v>38</v>
      </c>
      <c r="D297" s="10" t="s">
        <v>138</v>
      </c>
      <c r="E297" s="7" t="s">
        <v>51</v>
      </c>
      <c r="F297" s="2" t="s">
        <v>296</v>
      </c>
      <c r="G297" s="7" t="s">
        <v>34</v>
      </c>
      <c r="H297" s="4" t="s">
        <v>4</v>
      </c>
      <c r="I297" s="2">
        <v>4.5</v>
      </c>
      <c r="J297" s="2"/>
      <c r="K297" s="12"/>
      <c r="L297" s="6" t="s">
        <v>267</v>
      </c>
    </row>
    <row r="298" spans="1:12" s="8" customFormat="1" ht="45" customHeight="1" thickBot="1" x14ac:dyDescent="0.3">
      <c r="A298" s="3"/>
      <c r="B298" s="7" t="s">
        <v>7</v>
      </c>
      <c r="C298" s="2" t="s">
        <v>29</v>
      </c>
      <c r="D298" s="10" t="s">
        <v>138</v>
      </c>
      <c r="E298" s="7" t="s">
        <v>51</v>
      </c>
      <c r="F298" s="2" t="s">
        <v>296</v>
      </c>
      <c r="G298" s="7" t="s">
        <v>34</v>
      </c>
      <c r="H298" s="4" t="s">
        <v>4</v>
      </c>
      <c r="I298" s="2">
        <v>4.5</v>
      </c>
      <c r="J298" s="2"/>
      <c r="K298" s="12"/>
      <c r="L298" s="6" t="s">
        <v>267</v>
      </c>
    </row>
    <row r="299" spans="1:12" s="8" customFormat="1" ht="45" customHeight="1" thickBot="1" x14ac:dyDescent="0.3">
      <c r="A299" s="3"/>
      <c r="B299" s="7" t="s">
        <v>7</v>
      </c>
      <c r="C299" s="2" t="s">
        <v>216</v>
      </c>
      <c r="D299" s="10" t="s">
        <v>138</v>
      </c>
      <c r="E299" s="7" t="s">
        <v>51</v>
      </c>
      <c r="F299" s="2" t="s">
        <v>296</v>
      </c>
      <c r="G299" s="7" t="s">
        <v>34</v>
      </c>
      <c r="H299" s="4" t="s">
        <v>4</v>
      </c>
      <c r="I299" s="2">
        <v>4.53</v>
      </c>
      <c r="J299" s="2"/>
      <c r="K299" s="12"/>
      <c r="L299" s="6" t="s">
        <v>267</v>
      </c>
    </row>
    <row r="300" spans="1:12" s="8" customFormat="1" ht="45" customHeight="1" thickBot="1" x14ac:dyDescent="0.3">
      <c r="A300" s="3"/>
      <c r="B300" s="7" t="s">
        <v>7</v>
      </c>
      <c r="C300" s="2" t="s">
        <v>17</v>
      </c>
      <c r="D300" s="10" t="s">
        <v>138</v>
      </c>
      <c r="E300" s="7" t="s">
        <v>51</v>
      </c>
      <c r="F300" s="2" t="s">
        <v>296</v>
      </c>
      <c r="G300" s="7" t="s">
        <v>34</v>
      </c>
      <c r="H300" s="4" t="s">
        <v>4</v>
      </c>
      <c r="I300" s="2">
        <v>4.5</v>
      </c>
      <c r="J300" s="2"/>
      <c r="K300" s="12"/>
      <c r="L300" s="6" t="s">
        <v>267</v>
      </c>
    </row>
    <row r="301" spans="1:12" s="8" customFormat="1" ht="45" customHeight="1" thickBot="1" x14ac:dyDescent="0.3">
      <c r="A301" s="3"/>
      <c r="B301" s="7" t="s">
        <v>7</v>
      </c>
      <c r="C301" s="2" t="s">
        <v>20</v>
      </c>
      <c r="D301" s="10" t="s">
        <v>138</v>
      </c>
      <c r="E301" s="7" t="s">
        <v>51</v>
      </c>
      <c r="F301" s="2" t="s">
        <v>296</v>
      </c>
      <c r="G301" s="7" t="s">
        <v>34</v>
      </c>
      <c r="H301" s="4" t="s">
        <v>4</v>
      </c>
      <c r="I301" s="2">
        <v>4.5</v>
      </c>
      <c r="J301" s="2"/>
      <c r="K301" s="12"/>
      <c r="L301" s="6" t="s">
        <v>267</v>
      </c>
    </row>
    <row r="302" spans="1:12" s="8" customFormat="1" ht="45" customHeight="1" thickBot="1" x14ac:dyDescent="0.3">
      <c r="A302" s="3"/>
      <c r="B302" s="7" t="s">
        <v>7</v>
      </c>
      <c r="C302" s="2" t="s">
        <v>65</v>
      </c>
      <c r="D302" s="10" t="s">
        <v>138</v>
      </c>
      <c r="E302" s="7" t="s">
        <v>51</v>
      </c>
      <c r="F302" s="2" t="s">
        <v>296</v>
      </c>
      <c r="G302" s="7" t="s">
        <v>34</v>
      </c>
      <c r="H302" s="4" t="s">
        <v>4</v>
      </c>
      <c r="I302" s="2">
        <v>4.5</v>
      </c>
      <c r="J302" s="2"/>
      <c r="K302" s="12"/>
      <c r="L302" s="6" t="s">
        <v>267</v>
      </c>
    </row>
    <row r="303" spans="1:12" s="8" customFormat="1" ht="45" customHeight="1" thickBot="1" x14ac:dyDescent="0.3">
      <c r="A303" s="3"/>
      <c r="B303" s="7" t="s">
        <v>7</v>
      </c>
      <c r="C303" s="2" t="s">
        <v>38</v>
      </c>
      <c r="D303" s="10" t="s">
        <v>85</v>
      </c>
      <c r="E303" s="7" t="s">
        <v>51</v>
      </c>
      <c r="F303" s="2" t="s">
        <v>296</v>
      </c>
      <c r="G303" s="7" t="s">
        <v>34</v>
      </c>
      <c r="H303" s="4" t="s">
        <v>4</v>
      </c>
      <c r="I303" s="2">
        <v>6.84</v>
      </c>
      <c r="J303" s="2"/>
      <c r="K303" s="12"/>
      <c r="L303" s="6" t="s">
        <v>267</v>
      </c>
    </row>
    <row r="304" spans="1:12" s="8" customFormat="1" ht="45" customHeight="1" thickBot="1" x14ac:dyDescent="0.3">
      <c r="A304" s="3"/>
      <c r="B304" s="7" t="s">
        <v>7</v>
      </c>
      <c r="C304" s="2" t="s">
        <v>29</v>
      </c>
      <c r="D304" s="10" t="s">
        <v>85</v>
      </c>
      <c r="E304" s="7" t="s">
        <v>51</v>
      </c>
      <c r="F304" s="2" t="s">
        <v>296</v>
      </c>
      <c r="G304" s="7" t="s">
        <v>34</v>
      </c>
      <c r="H304" s="4" t="s">
        <v>4</v>
      </c>
      <c r="I304" s="2">
        <v>6.84</v>
      </c>
      <c r="J304" s="2"/>
      <c r="K304" s="12"/>
      <c r="L304" s="6" t="s">
        <v>267</v>
      </c>
    </row>
    <row r="305" spans="1:12" s="8" customFormat="1" ht="45" customHeight="1" thickBot="1" x14ac:dyDescent="0.3">
      <c r="A305" s="3"/>
      <c r="B305" s="7" t="s">
        <v>7</v>
      </c>
      <c r="C305" s="2" t="s">
        <v>216</v>
      </c>
      <c r="D305" s="10" t="s">
        <v>85</v>
      </c>
      <c r="E305" s="7" t="s">
        <v>51</v>
      </c>
      <c r="F305" s="2" t="s">
        <v>296</v>
      </c>
      <c r="G305" s="7" t="s">
        <v>34</v>
      </c>
      <c r="H305" s="4" t="s">
        <v>4</v>
      </c>
      <c r="I305" s="2">
        <v>6.84</v>
      </c>
      <c r="J305" s="2"/>
      <c r="K305" s="12"/>
      <c r="L305" s="6" t="s">
        <v>267</v>
      </c>
    </row>
    <row r="306" spans="1:12" s="8" customFormat="1" ht="45" customHeight="1" thickBot="1" x14ac:dyDescent="0.3">
      <c r="A306" s="3"/>
      <c r="B306" s="7" t="s">
        <v>7</v>
      </c>
      <c r="C306" s="2" t="s">
        <v>20</v>
      </c>
      <c r="D306" s="10" t="s">
        <v>85</v>
      </c>
      <c r="E306" s="7" t="s">
        <v>51</v>
      </c>
      <c r="F306" s="2" t="s">
        <v>296</v>
      </c>
      <c r="G306" s="7" t="s">
        <v>34</v>
      </c>
      <c r="H306" s="4" t="s">
        <v>4</v>
      </c>
      <c r="I306" s="2">
        <v>6.84</v>
      </c>
      <c r="J306" s="2"/>
      <c r="K306" s="12"/>
      <c r="L306" s="6" t="s">
        <v>267</v>
      </c>
    </row>
    <row r="307" spans="1:12" s="8" customFormat="1" ht="45" customHeight="1" thickBot="1" x14ac:dyDescent="0.3">
      <c r="A307" s="3"/>
      <c r="B307" s="7" t="s">
        <v>7</v>
      </c>
      <c r="C307" s="2" t="s">
        <v>65</v>
      </c>
      <c r="D307" s="10" t="s">
        <v>85</v>
      </c>
      <c r="E307" s="7" t="s">
        <v>51</v>
      </c>
      <c r="F307" s="2" t="s">
        <v>296</v>
      </c>
      <c r="G307" s="7" t="s">
        <v>34</v>
      </c>
      <c r="H307" s="4" t="s">
        <v>4</v>
      </c>
      <c r="I307" s="2">
        <v>6.03</v>
      </c>
      <c r="J307" s="2"/>
      <c r="K307" s="12"/>
      <c r="L307" s="6" t="s">
        <v>267</v>
      </c>
    </row>
    <row r="308" spans="1:12" s="8" customFormat="1" ht="45" customHeight="1" thickBot="1" x14ac:dyDescent="0.3">
      <c r="A308" s="3"/>
      <c r="B308" s="7" t="s">
        <v>7</v>
      </c>
      <c r="C308" s="2" t="s">
        <v>38</v>
      </c>
      <c r="D308" s="10" t="s">
        <v>96</v>
      </c>
      <c r="E308" s="7" t="s">
        <v>51</v>
      </c>
      <c r="F308" s="2" t="s">
        <v>296</v>
      </c>
      <c r="G308" s="7" t="s">
        <v>34</v>
      </c>
      <c r="H308" s="4" t="s">
        <v>4</v>
      </c>
      <c r="I308" s="2">
        <v>6</v>
      </c>
      <c r="J308" s="2"/>
      <c r="K308" s="12"/>
      <c r="L308" s="6" t="s">
        <v>267</v>
      </c>
    </row>
    <row r="309" spans="1:12" s="8" customFormat="1" ht="45" customHeight="1" thickBot="1" x14ac:dyDescent="0.3">
      <c r="A309" s="3"/>
      <c r="B309" s="7" t="s">
        <v>7</v>
      </c>
      <c r="C309" s="2" t="s">
        <v>29</v>
      </c>
      <c r="D309" s="10" t="s">
        <v>96</v>
      </c>
      <c r="E309" s="7" t="s">
        <v>51</v>
      </c>
      <c r="F309" s="2" t="s">
        <v>296</v>
      </c>
      <c r="G309" s="7" t="s">
        <v>34</v>
      </c>
      <c r="H309" s="4" t="s">
        <v>4</v>
      </c>
      <c r="I309" s="2">
        <v>6</v>
      </c>
      <c r="J309" s="2"/>
      <c r="K309" s="12"/>
      <c r="L309" s="6" t="s">
        <v>267</v>
      </c>
    </row>
    <row r="310" spans="1:12" s="8" customFormat="1" ht="45" customHeight="1" thickBot="1" x14ac:dyDescent="0.3">
      <c r="A310" s="3"/>
      <c r="B310" s="7" t="s">
        <v>7</v>
      </c>
      <c r="C310" s="2" t="s">
        <v>216</v>
      </c>
      <c r="D310" s="10" t="s">
        <v>96</v>
      </c>
      <c r="E310" s="7" t="s">
        <v>51</v>
      </c>
      <c r="F310" s="2" t="s">
        <v>296</v>
      </c>
      <c r="G310" s="7" t="s">
        <v>34</v>
      </c>
      <c r="H310" s="4" t="s">
        <v>4</v>
      </c>
      <c r="I310" s="2">
        <v>6.84</v>
      </c>
      <c r="J310" s="2"/>
      <c r="K310" s="12"/>
      <c r="L310" s="6" t="s">
        <v>267</v>
      </c>
    </row>
    <row r="311" spans="1:12" s="8" customFormat="1" ht="45" customHeight="1" thickBot="1" x14ac:dyDescent="0.3">
      <c r="A311" s="3"/>
      <c r="B311" s="7" t="s">
        <v>7</v>
      </c>
      <c r="C311" s="2" t="s">
        <v>20</v>
      </c>
      <c r="D311" s="10" t="s">
        <v>96</v>
      </c>
      <c r="E311" s="7" t="s">
        <v>51</v>
      </c>
      <c r="F311" s="2" t="s">
        <v>296</v>
      </c>
      <c r="G311" s="7" t="s">
        <v>34</v>
      </c>
      <c r="H311" s="4" t="s">
        <v>4</v>
      </c>
      <c r="I311" s="2">
        <v>6</v>
      </c>
      <c r="J311" s="2"/>
      <c r="K311" s="12"/>
      <c r="L311" s="6" t="s">
        <v>267</v>
      </c>
    </row>
    <row r="312" spans="1:12" s="8" customFormat="1" ht="45" customHeight="1" thickBot="1" x14ac:dyDescent="0.3">
      <c r="A312" s="3"/>
      <c r="B312" s="7" t="s">
        <v>7</v>
      </c>
      <c r="C312" s="2" t="s">
        <v>65</v>
      </c>
      <c r="D312" s="10" t="s">
        <v>96</v>
      </c>
      <c r="E312" s="7" t="s">
        <v>51</v>
      </c>
      <c r="F312" s="2" t="s">
        <v>296</v>
      </c>
      <c r="G312" s="7" t="s">
        <v>34</v>
      </c>
      <c r="H312" s="4" t="s">
        <v>4</v>
      </c>
      <c r="I312" s="2">
        <v>6</v>
      </c>
      <c r="J312" s="2"/>
      <c r="K312" s="12"/>
      <c r="L312" s="6" t="s">
        <v>267</v>
      </c>
    </row>
    <row r="313" spans="1:12" s="8" customFormat="1" ht="45" customHeight="1" thickBot="1" x14ac:dyDescent="0.3">
      <c r="A313" s="3"/>
      <c r="B313" s="7" t="s">
        <v>7</v>
      </c>
      <c r="C313" s="2" t="s">
        <v>65</v>
      </c>
      <c r="D313" s="10">
        <v>1705</v>
      </c>
      <c r="E313" s="7" t="s">
        <v>30</v>
      </c>
      <c r="F313" s="2" t="s">
        <v>297</v>
      </c>
      <c r="G313" s="7" t="s">
        <v>34</v>
      </c>
      <c r="H313" s="4" t="s">
        <v>4</v>
      </c>
      <c r="I313" s="2">
        <v>72.141999999999996</v>
      </c>
      <c r="J313" s="2"/>
      <c r="K313" s="12"/>
      <c r="L313" s="6"/>
    </row>
    <row r="314" spans="1:12" s="8" customFormat="1" ht="45" customHeight="1" thickBot="1" x14ac:dyDescent="0.3">
      <c r="A314" s="3"/>
      <c r="B314" s="7" t="s">
        <v>7</v>
      </c>
      <c r="C314" s="2" t="s">
        <v>65</v>
      </c>
      <c r="D314" s="10">
        <v>1805</v>
      </c>
      <c r="E314" s="7" t="s">
        <v>30</v>
      </c>
      <c r="F314" s="2" t="s">
        <v>297</v>
      </c>
      <c r="G314" s="7" t="s">
        <v>34</v>
      </c>
      <c r="H314" s="4" t="s">
        <v>4</v>
      </c>
      <c r="I314" s="2">
        <v>80.211500000000001</v>
      </c>
      <c r="J314" s="2"/>
      <c r="K314" s="12"/>
      <c r="L314" s="6"/>
    </row>
    <row r="315" spans="1:12" s="8" customFormat="1" ht="45" customHeight="1" thickBot="1" x14ac:dyDescent="0.3">
      <c r="A315" s="3"/>
      <c r="B315" s="7" t="s">
        <v>7</v>
      </c>
      <c r="C315" s="2" t="s">
        <v>65</v>
      </c>
      <c r="D315" s="10">
        <v>1706</v>
      </c>
      <c r="E315" s="7" t="s">
        <v>30</v>
      </c>
      <c r="F315" s="2" t="s">
        <v>297</v>
      </c>
      <c r="G315" s="7" t="s">
        <v>34</v>
      </c>
      <c r="H315" s="4" t="s">
        <v>4</v>
      </c>
      <c r="I315" s="2">
        <v>78.084999999999994</v>
      </c>
      <c r="J315" s="2"/>
      <c r="K315" s="12"/>
      <c r="L315" s="6"/>
    </row>
    <row r="316" spans="1:12" s="8" customFormat="1" ht="45" customHeight="1" thickBot="1" x14ac:dyDescent="0.3">
      <c r="A316" s="3"/>
      <c r="B316" s="7" t="s">
        <v>7</v>
      </c>
      <c r="C316" s="2" t="s">
        <v>65</v>
      </c>
      <c r="D316" s="10">
        <v>1806</v>
      </c>
      <c r="E316" s="7" t="s">
        <v>30</v>
      </c>
      <c r="F316" s="2" t="s">
        <v>297</v>
      </c>
      <c r="G316" s="7" t="s">
        <v>34</v>
      </c>
      <c r="H316" s="4" t="s">
        <v>4</v>
      </c>
      <c r="I316" s="2">
        <v>87.154499999999999</v>
      </c>
      <c r="J316" s="2"/>
      <c r="K316" s="12"/>
      <c r="L316" s="6"/>
    </row>
    <row r="317" spans="1:12" ht="45" customHeight="1" thickBot="1" x14ac:dyDescent="0.3">
      <c r="A317" s="3"/>
      <c r="B317" s="7" t="s">
        <v>7</v>
      </c>
      <c r="C317" s="2" t="s">
        <v>29</v>
      </c>
      <c r="D317" s="10" t="s">
        <v>233</v>
      </c>
      <c r="E317" s="7" t="s">
        <v>30</v>
      </c>
      <c r="F317" s="2" t="s">
        <v>297</v>
      </c>
      <c r="G317" s="7" t="s">
        <v>34</v>
      </c>
      <c r="H317" s="4" t="s">
        <v>4</v>
      </c>
      <c r="I317" s="2">
        <v>3.6</v>
      </c>
      <c r="J317" s="4"/>
      <c r="K317" s="11"/>
      <c r="L317" s="6" t="s">
        <v>263</v>
      </c>
    </row>
    <row r="318" spans="1:12" ht="45" customHeight="1" thickBot="1" x14ac:dyDescent="0.3">
      <c r="A318" s="3"/>
      <c r="B318" s="7" t="s">
        <v>7</v>
      </c>
      <c r="C318" s="2" t="s">
        <v>9</v>
      </c>
      <c r="D318" s="10" t="s">
        <v>233</v>
      </c>
      <c r="E318" s="7" t="s">
        <v>30</v>
      </c>
      <c r="F318" s="2" t="s">
        <v>297</v>
      </c>
      <c r="G318" s="7" t="s">
        <v>34</v>
      </c>
      <c r="H318" s="4" t="s">
        <v>4</v>
      </c>
      <c r="I318" s="2">
        <v>3.6</v>
      </c>
      <c r="J318" s="4"/>
      <c r="K318" s="11"/>
      <c r="L318" s="6" t="s">
        <v>263</v>
      </c>
    </row>
    <row r="319" spans="1:12" ht="45" customHeight="1" thickBot="1" x14ac:dyDescent="0.3">
      <c r="A319" s="3"/>
      <c r="B319" s="7" t="s">
        <v>7</v>
      </c>
      <c r="C319" s="2" t="s">
        <v>10</v>
      </c>
      <c r="D319" s="10" t="s">
        <v>233</v>
      </c>
      <c r="E319" s="7" t="s">
        <v>30</v>
      </c>
      <c r="F319" s="2" t="s">
        <v>297</v>
      </c>
      <c r="G319" s="7" t="s">
        <v>34</v>
      </c>
      <c r="H319" s="4" t="s">
        <v>4</v>
      </c>
      <c r="I319" s="2">
        <v>3.6</v>
      </c>
      <c r="J319" s="4"/>
      <c r="K319" s="11"/>
      <c r="L319" s="6" t="s">
        <v>263</v>
      </c>
    </row>
    <row r="320" spans="1:12" ht="45" customHeight="1" thickBot="1" x14ac:dyDescent="0.3">
      <c r="A320" s="3"/>
      <c r="B320" s="7" t="s">
        <v>7</v>
      </c>
      <c r="C320" s="2" t="s">
        <v>177</v>
      </c>
      <c r="D320" s="10" t="s">
        <v>233</v>
      </c>
      <c r="E320" s="7" t="s">
        <v>30</v>
      </c>
      <c r="F320" s="2" t="s">
        <v>297</v>
      </c>
      <c r="G320" s="7" t="s">
        <v>34</v>
      </c>
      <c r="H320" s="4" t="s">
        <v>4</v>
      </c>
      <c r="I320" s="2">
        <v>3.6</v>
      </c>
      <c r="J320" s="4"/>
      <c r="K320" s="11"/>
      <c r="L320" s="6" t="s">
        <v>263</v>
      </c>
    </row>
    <row r="321" spans="1:12" ht="45" customHeight="1" thickBot="1" x14ac:dyDescent="0.3">
      <c r="A321" s="3"/>
      <c r="B321" s="7" t="s">
        <v>7</v>
      </c>
      <c r="C321" s="2" t="s">
        <v>13</v>
      </c>
      <c r="D321" s="10" t="s">
        <v>233</v>
      </c>
      <c r="E321" s="7" t="s">
        <v>30</v>
      </c>
      <c r="F321" s="2" t="s">
        <v>297</v>
      </c>
      <c r="G321" s="7" t="s">
        <v>34</v>
      </c>
      <c r="H321" s="4" t="s">
        <v>4</v>
      </c>
      <c r="I321" s="2">
        <v>3.6</v>
      </c>
      <c r="J321" s="4"/>
      <c r="K321" s="11"/>
      <c r="L321" s="6" t="s">
        <v>263</v>
      </c>
    </row>
    <row r="322" spans="1:12" ht="45" customHeight="1" thickBot="1" x14ac:dyDescent="0.3">
      <c r="A322" s="3"/>
      <c r="B322" s="7" t="s">
        <v>7</v>
      </c>
      <c r="C322" s="2" t="s">
        <v>15</v>
      </c>
      <c r="D322" s="10" t="s">
        <v>233</v>
      </c>
      <c r="E322" s="7" t="s">
        <v>30</v>
      </c>
      <c r="F322" s="2" t="s">
        <v>297</v>
      </c>
      <c r="G322" s="7" t="s">
        <v>34</v>
      </c>
      <c r="H322" s="4" t="s">
        <v>4</v>
      </c>
      <c r="I322" s="2">
        <v>3.6</v>
      </c>
      <c r="J322" s="4"/>
      <c r="K322" s="11"/>
      <c r="L322" s="6" t="s">
        <v>263</v>
      </c>
    </row>
    <row r="323" spans="1:12" ht="45" customHeight="1" thickBot="1" x14ac:dyDescent="0.3">
      <c r="A323" s="3"/>
      <c r="B323" s="7" t="s">
        <v>7</v>
      </c>
      <c r="C323" s="2" t="s">
        <v>16</v>
      </c>
      <c r="D323" s="10" t="s">
        <v>233</v>
      </c>
      <c r="E323" s="7" t="s">
        <v>30</v>
      </c>
      <c r="F323" s="2" t="s">
        <v>297</v>
      </c>
      <c r="G323" s="7" t="s">
        <v>34</v>
      </c>
      <c r="H323" s="4" t="s">
        <v>4</v>
      </c>
      <c r="I323" s="2">
        <v>3.6</v>
      </c>
      <c r="J323" s="4"/>
      <c r="K323" s="11"/>
      <c r="L323" s="6" t="s">
        <v>263</v>
      </c>
    </row>
    <row r="324" spans="1:12" ht="45" customHeight="1" thickBot="1" x14ac:dyDescent="0.3">
      <c r="A324" s="3"/>
      <c r="B324" s="7" t="s">
        <v>7</v>
      </c>
      <c r="C324" s="2" t="s">
        <v>17</v>
      </c>
      <c r="D324" s="10" t="s">
        <v>233</v>
      </c>
      <c r="E324" s="7" t="s">
        <v>30</v>
      </c>
      <c r="F324" s="2" t="s">
        <v>297</v>
      </c>
      <c r="G324" s="7" t="s">
        <v>34</v>
      </c>
      <c r="H324" s="4" t="s">
        <v>4</v>
      </c>
      <c r="I324" s="2">
        <v>3.6</v>
      </c>
      <c r="J324" s="4"/>
      <c r="K324" s="11"/>
      <c r="L324" s="6" t="s">
        <v>263</v>
      </c>
    </row>
    <row r="325" spans="1:12" ht="45" customHeight="1" thickBot="1" x14ac:dyDescent="0.3">
      <c r="A325" s="3"/>
      <c r="B325" s="7" t="s">
        <v>7</v>
      </c>
      <c r="C325" s="2" t="s">
        <v>20</v>
      </c>
      <c r="D325" s="10" t="s">
        <v>233</v>
      </c>
      <c r="E325" s="7" t="s">
        <v>30</v>
      </c>
      <c r="F325" s="2" t="s">
        <v>297</v>
      </c>
      <c r="G325" s="7" t="s">
        <v>34</v>
      </c>
      <c r="H325" s="4" t="s">
        <v>4</v>
      </c>
      <c r="I325" s="2">
        <v>3.6</v>
      </c>
      <c r="J325" s="4"/>
      <c r="K325" s="11"/>
      <c r="L325" s="6" t="s">
        <v>263</v>
      </c>
    </row>
    <row r="326" spans="1:12" ht="45" customHeight="1" thickBot="1" x14ac:dyDescent="0.3">
      <c r="A326" s="3"/>
      <c r="B326" s="7" t="s">
        <v>7</v>
      </c>
      <c r="C326" s="2" t="s">
        <v>65</v>
      </c>
      <c r="D326" s="10" t="s">
        <v>233</v>
      </c>
      <c r="E326" s="7" t="s">
        <v>30</v>
      </c>
      <c r="F326" s="2" t="s">
        <v>297</v>
      </c>
      <c r="G326" s="7" t="s">
        <v>34</v>
      </c>
      <c r="H326" s="4" t="s">
        <v>4</v>
      </c>
      <c r="I326" s="2">
        <v>3</v>
      </c>
      <c r="J326" s="4"/>
      <c r="K326" s="11"/>
      <c r="L326" s="6" t="s">
        <v>263</v>
      </c>
    </row>
    <row r="327" spans="1:12" ht="45" customHeight="1" thickBot="1" x14ac:dyDescent="0.3">
      <c r="A327" s="3"/>
      <c r="B327" s="7" t="s">
        <v>7</v>
      </c>
      <c r="C327" s="2" t="s">
        <v>144</v>
      </c>
      <c r="D327" s="10">
        <v>101</v>
      </c>
      <c r="E327" s="7" t="s">
        <v>30</v>
      </c>
      <c r="F327" s="2" t="s">
        <v>297</v>
      </c>
      <c r="G327" s="7" t="s">
        <v>32</v>
      </c>
      <c r="H327" s="4" t="s">
        <v>4</v>
      </c>
      <c r="I327" s="2">
        <v>458.52</v>
      </c>
      <c r="J327" s="4"/>
      <c r="K327" s="11"/>
      <c r="L327" s="6"/>
    </row>
    <row r="328" spans="1:12" ht="45" customHeight="1" thickBot="1" x14ac:dyDescent="0.3">
      <c r="A328" s="3"/>
      <c r="B328" s="7" t="s">
        <v>7</v>
      </c>
      <c r="C328" s="2" t="s">
        <v>144</v>
      </c>
      <c r="D328" s="10">
        <v>102</v>
      </c>
      <c r="E328" s="7" t="s">
        <v>30</v>
      </c>
      <c r="F328" s="2" t="s">
        <v>297</v>
      </c>
      <c r="G328" s="7" t="s">
        <v>32</v>
      </c>
      <c r="H328" s="4" t="s">
        <v>4</v>
      </c>
      <c r="I328" s="2">
        <v>141.5532</v>
      </c>
      <c r="J328" s="4"/>
      <c r="K328" s="11"/>
      <c r="L328" s="6"/>
    </row>
    <row r="329" spans="1:12" ht="45" customHeight="1" thickBot="1" x14ac:dyDescent="0.3">
      <c r="A329" s="3"/>
      <c r="B329" s="7" t="s">
        <v>7</v>
      </c>
      <c r="C329" s="2" t="s">
        <v>144</v>
      </c>
      <c r="D329" s="2" t="s">
        <v>36</v>
      </c>
      <c r="E329" s="7" t="s">
        <v>30</v>
      </c>
      <c r="F329" s="2" t="s">
        <v>297</v>
      </c>
      <c r="G329" s="7" t="s">
        <v>32</v>
      </c>
      <c r="H329" s="4" t="s">
        <v>4</v>
      </c>
      <c r="I329" s="2">
        <v>63.786700000000003</v>
      </c>
      <c r="J329" s="4"/>
      <c r="K329" s="11"/>
      <c r="L329" s="6"/>
    </row>
    <row r="330" spans="1:12" ht="45" customHeight="1" thickBot="1" x14ac:dyDescent="0.3">
      <c r="A330" s="3"/>
      <c r="B330" s="7" t="s">
        <v>7</v>
      </c>
      <c r="C330" s="2" t="s">
        <v>29</v>
      </c>
      <c r="D330" s="2" t="s">
        <v>36</v>
      </c>
      <c r="E330" s="7" t="s">
        <v>30</v>
      </c>
      <c r="F330" s="2" t="s">
        <v>297</v>
      </c>
      <c r="G330" s="7" t="s">
        <v>32</v>
      </c>
      <c r="H330" s="4" t="s">
        <v>4</v>
      </c>
      <c r="I330" s="2">
        <v>75.270700000000005</v>
      </c>
      <c r="J330" s="4"/>
      <c r="K330" s="11"/>
      <c r="L330" s="6"/>
    </row>
    <row r="331" spans="1:12" ht="45" customHeight="1" thickBot="1" x14ac:dyDescent="0.3">
      <c r="A331" s="3"/>
      <c r="B331" s="7" t="s">
        <v>7</v>
      </c>
      <c r="C331" s="7" t="s">
        <v>15</v>
      </c>
      <c r="D331" s="14" t="s">
        <v>298</v>
      </c>
      <c r="E331" s="7" t="s">
        <v>30</v>
      </c>
      <c r="F331" s="2" t="s">
        <v>297</v>
      </c>
      <c r="G331" s="7" t="s">
        <v>32</v>
      </c>
      <c r="H331" s="4" t="s">
        <v>48</v>
      </c>
      <c r="I331" s="4">
        <v>6</v>
      </c>
      <c r="J331" s="4"/>
      <c r="K331" s="11"/>
      <c r="L331" s="5"/>
    </row>
    <row r="332" spans="1:12" ht="45" customHeight="1" thickBot="1" x14ac:dyDescent="0.3">
      <c r="A332" s="3"/>
      <c r="B332" s="7" t="s">
        <v>7</v>
      </c>
      <c r="C332" s="7" t="s">
        <v>20</v>
      </c>
      <c r="D332" s="14" t="s">
        <v>299</v>
      </c>
      <c r="E332" s="7" t="s">
        <v>30</v>
      </c>
      <c r="F332" s="2" t="s">
        <v>297</v>
      </c>
      <c r="G332" s="7" t="s">
        <v>32</v>
      </c>
      <c r="H332" s="4" t="s">
        <v>48</v>
      </c>
      <c r="I332" s="4">
        <v>6</v>
      </c>
      <c r="J332" s="4"/>
      <c r="K332" s="11"/>
      <c r="L332" s="5"/>
    </row>
    <row r="333" spans="1:12" ht="45" customHeight="1" thickBot="1" x14ac:dyDescent="0.3">
      <c r="A333" s="3"/>
      <c r="B333" s="7" t="s">
        <v>7</v>
      </c>
      <c r="C333" s="2" t="s">
        <v>29</v>
      </c>
      <c r="D333" s="14" t="s">
        <v>300</v>
      </c>
      <c r="E333" s="7" t="s">
        <v>30</v>
      </c>
      <c r="F333" s="2" t="s">
        <v>297</v>
      </c>
      <c r="G333" s="7" t="s">
        <v>32</v>
      </c>
      <c r="H333" s="4" t="s">
        <v>48</v>
      </c>
      <c r="I333" s="4">
        <v>15</v>
      </c>
      <c r="J333" s="4"/>
      <c r="K333" s="11"/>
      <c r="L333" s="5"/>
    </row>
    <row r="334" spans="1:12" s="22" customFormat="1" ht="45" customHeight="1" thickBot="1" x14ac:dyDescent="0.3">
      <c r="A334" s="17"/>
      <c r="B334" s="19" t="s">
        <v>7</v>
      </c>
      <c r="C334" s="18" t="s">
        <v>144</v>
      </c>
      <c r="D334" s="24">
        <v>104</v>
      </c>
      <c r="E334" s="19" t="s">
        <v>30</v>
      </c>
      <c r="F334" s="24" t="s">
        <v>301</v>
      </c>
      <c r="G334" s="19" t="s">
        <v>32</v>
      </c>
      <c r="H334" s="18" t="s">
        <v>4</v>
      </c>
      <c r="I334" s="24">
        <v>498.33929999999998</v>
      </c>
      <c r="J334" s="24"/>
      <c r="K334" s="25"/>
      <c r="L334" s="26"/>
    </row>
    <row r="335" spans="1:12" s="8" customFormat="1" ht="45" customHeight="1" thickBot="1" x14ac:dyDescent="0.3">
      <c r="A335" s="3"/>
      <c r="B335" s="7" t="s">
        <v>7</v>
      </c>
      <c r="C335" s="4" t="s">
        <v>144</v>
      </c>
      <c r="D335" s="2">
        <v>104</v>
      </c>
      <c r="E335" s="7" t="s">
        <v>30</v>
      </c>
      <c r="F335" s="2" t="s">
        <v>301</v>
      </c>
      <c r="G335" s="7" t="s">
        <v>34</v>
      </c>
      <c r="H335" s="4" t="s">
        <v>4</v>
      </c>
      <c r="I335" s="2">
        <v>111.4415</v>
      </c>
      <c r="J335" s="2"/>
      <c r="K335" s="12"/>
      <c r="L335" s="6"/>
    </row>
    <row r="336" spans="1:12" s="8" customFormat="1" ht="45" customHeight="1" thickBot="1" x14ac:dyDescent="0.3">
      <c r="A336" s="3"/>
      <c r="B336" s="7" t="s">
        <v>7</v>
      </c>
      <c r="C336" s="4" t="s">
        <v>144</v>
      </c>
      <c r="D336" s="2" t="s">
        <v>11</v>
      </c>
      <c r="E336" s="7" t="s">
        <v>30</v>
      </c>
      <c r="F336" s="2" t="s">
        <v>301</v>
      </c>
      <c r="G336" s="7" t="s">
        <v>32</v>
      </c>
      <c r="H336" s="4" t="s">
        <v>4</v>
      </c>
      <c r="I336" s="2">
        <v>13.095000000000001</v>
      </c>
      <c r="J336" s="2"/>
      <c r="K336" s="12"/>
      <c r="L336" s="6"/>
    </row>
    <row r="337" spans="1:12" s="8" customFormat="1" ht="45" customHeight="1" thickBot="1" x14ac:dyDescent="0.3">
      <c r="A337" s="3"/>
      <c r="B337" s="7" t="s">
        <v>7</v>
      </c>
      <c r="C337" s="4" t="s">
        <v>35</v>
      </c>
      <c r="D337" s="2" t="s">
        <v>142</v>
      </c>
      <c r="E337" s="7" t="s">
        <v>30</v>
      </c>
      <c r="F337" s="2" t="s">
        <v>301</v>
      </c>
      <c r="G337" s="7" t="s">
        <v>32</v>
      </c>
      <c r="H337" s="4" t="s">
        <v>4</v>
      </c>
      <c r="I337" s="2">
        <v>3.718</v>
      </c>
      <c r="J337" s="2"/>
      <c r="K337" s="12"/>
      <c r="L337" s="6"/>
    </row>
    <row r="338" spans="1:12" ht="45" customHeight="1" thickBot="1" x14ac:dyDescent="0.3">
      <c r="A338" s="3"/>
      <c r="B338" s="7" t="s">
        <v>7</v>
      </c>
      <c r="C338" s="4" t="s">
        <v>144</v>
      </c>
      <c r="D338" s="14" t="s">
        <v>302</v>
      </c>
      <c r="E338" s="7" t="s">
        <v>30</v>
      </c>
      <c r="F338" s="2" t="s">
        <v>301</v>
      </c>
      <c r="G338" s="7" t="s">
        <v>32</v>
      </c>
      <c r="H338" s="4" t="s">
        <v>44</v>
      </c>
      <c r="I338" s="4">
        <f>4.51+8.13+4.51+8.13+4.51+8.13</f>
        <v>37.92</v>
      </c>
      <c r="J338" s="4"/>
      <c r="K338" s="11"/>
      <c r="L338" s="5"/>
    </row>
    <row r="339" spans="1:12" ht="45" customHeight="1" thickBot="1" x14ac:dyDescent="0.3">
      <c r="A339" s="3"/>
      <c r="B339" s="7" t="s">
        <v>7</v>
      </c>
      <c r="C339" s="4" t="s">
        <v>144</v>
      </c>
      <c r="D339" s="14" t="s">
        <v>303</v>
      </c>
      <c r="E339" s="7" t="s">
        <v>30</v>
      </c>
      <c r="F339" s="2" t="s">
        <v>301</v>
      </c>
      <c r="G339" s="7" t="s">
        <v>32</v>
      </c>
      <c r="H339" s="4" t="s">
        <v>4</v>
      </c>
      <c r="I339" s="4">
        <f>2.255+4.065+2.255+4.065+2.255+4.065</f>
        <v>18.96</v>
      </c>
      <c r="J339" s="4"/>
      <c r="K339" s="11"/>
      <c r="L339" s="5"/>
    </row>
    <row r="340" spans="1:12" ht="45" customHeight="1" thickBot="1" x14ac:dyDescent="0.3">
      <c r="A340" s="3"/>
      <c r="B340" s="7" t="s">
        <v>7</v>
      </c>
      <c r="C340" s="4" t="s">
        <v>65</v>
      </c>
      <c r="D340" s="14" t="s">
        <v>304</v>
      </c>
      <c r="E340" s="7" t="s">
        <v>30</v>
      </c>
      <c r="F340" s="2" t="s">
        <v>301</v>
      </c>
      <c r="G340" s="7" t="s">
        <v>32</v>
      </c>
      <c r="H340" s="4" t="s">
        <v>44</v>
      </c>
      <c r="I340" s="4">
        <f>3.61+2.71+1.92+3.61+2.71+1.92+4.51+8.13</f>
        <v>29.119999999999997</v>
      </c>
      <c r="J340" s="4"/>
      <c r="K340" s="11"/>
      <c r="L340" s="5"/>
    </row>
    <row r="341" spans="1:12" ht="45" customHeight="1" thickBot="1" x14ac:dyDescent="0.3">
      <c r="A341" s="3"/>
      <c r="B341" s="7" t="s">
        <v>7</v>
      </c>
      <c r="C341" s="4" t="s">
        <v>65</v>
      </c>
      <c r="D341" s="14" t="s">
        <v>305</v>
      </c>
      <c r="E341" s="7" t="s">
        <v>30</v>
      </c>
      <c r="F341" s="2" t="s">
        <v>301</v>
      </c>
      <c r="G341" s="7" t="s">
        <v>32</v>
      </c>
      <c r="H341" s="4" t="s">
        <v>4</v>
      </c>
      <c r="I341" s="4">
        <f>1.805+1.355+0.96+1.805+1.355+0.96+2.255+4.065+1.353+0.813+1.626</f>
        <v>18.352</v>
      </c>
      <c r="J341" s="4"/>
      <c r="K341" s="11"/>
      <c r="L341" s="5"/>
    </row>
    <row r="342" spans="1:12" s="8" customFormat="1" ht="45" customHeight="1" thickBot="1" x14ac:dyDescent="0.3">
      <c r="A342" s="3"/>
      <c r="B342" s="7" t="s">
        <v>7</v>
      </c>
      <c r="C342" s="4" t="s">
        <v>144</v>
      </c>
      <c r="D342" s="10" t="s">
        <v>85</v>
      </c>
      <c r="E342" s="7" t="s">
        <v>30</v>
      </c>
      <c r="F342" s="2" t="s">
        <v>301</v>
      </c>
      <c r="G342" s="7" t="s">
        <v>34</v>
      </c>
      <c r="H342" s="4" t="s">
        <v>4</v>
      </c>
      <c r="I342" s="2">
        <v>8.4730000000000008</v>
      </c>
      <c r="J342" s="2"/>
      <c r="K342" s="12"/>
      <c r="L342" s="6" t="s">
        <v>267</v>
      </c>
    </row>
    <row r="343" spans="1:12" s="8" customFormat="1" ht="45" customHeight="1" thickBot="1" x14ac:dyDescent="0.3">
      <c r="A343" s="3"/>
      <c r="B343" s="7" t="s">
        <v>7</v>
      </c>
      <c r="C343" s="4" t="s">
        <v>144</v>
      </c>
      <c r="D343" s="10" t="s">
        <v>96</v>
      </c>
      <c r="E343" s="7" t="s">
        <v>30</v>
      </c>
      <c r="F343" s="2" t="s">
        <v>301</v>
      </c>
      <c r="G343" s="7" t="s">
        <v>34</v>
      </c>
      <c r="H343" s="4" t="s">
        <v>4</v>
      </c>
      <c r="I343" s="2">
        <v>8.4730000000000008</v>
      </c>
      <c r="J343" s="2"/>
      <c r="K343" s="12"/>
      <c r="L343" s="6" t="s">
        <v>267</v>
      </c>
    </row>
    <row r="344" spans="1:12" s="8" customFormat="1" ht="45" customHeight="1" thickBot="1" x14ac:dyDescent="0.3">
      <c r="A344" s="3"/>
      <c r="B344" s="7" t="s">
        <v>7</v>
      </c>
      <c r="C344" s="4" t="s">
        <v>196</v>
      </c>
      <c r="D344" s="10" t="s">
        <v>233</v>
      </c>
      <c r="E344" s="7" t="s">
        <v>30</v>
      </c>
      <c r="F344" s="2" t="s">
        <v>301</v>
      </c>
      <c r="G344" s="7" t="s">
        <v>34</v>
      </c>
      <c r="H344" s="4" t="s">
        <v>4</v>
      </c>
      <c r="I344" s="2">
        <v>6.66</v>
      </c>
      <c r="J344" s="2"/>
      <c r="K344" s="12"/>
      <c r="L344" s="6" t="s">
        <v>267</v>
      </c>
    </row>
    <row r="345" spans="1:12" s="8" customFormat="1" ht="45" customHeight="1" thickBot="1" x14ac:dyDescent="0.3">
      <c r="A345" s="3"/>
      <c r="B345" s="7" t="s">
        <v>7</v>
      </c>
      <c r="C345" s="4" t="s">
        <v>43</v>
      </c>
      <c r="D345" s="10" t="s">
        <v>261</v>
      </c>
      <c r="E345" s="7" t="s">
        <v>30</v>
      </c>
      <c r="F345" s="2" t="s">
        <v>301</v>
      </c>
      <c r="G345" s="7" t="s">
        <v>34</v>
      </c>
      <c r="H345" s="4" t="s">
        <v>4</v>
      </c>
      <c r="I345" s="2">
        <f>2.812+2.072</f>
        <v>4.8840000000000003</v>
      </c>
      <c r="J345" s="2"/>
      <c r="K345" s="12"/>
      <c r="L345" s="6" t="s">
        <v>267</v>
      </c>
    </row>
    <row r="346" spans="1:12" s="8" customFormat="1" ht="45" customHeight="1" thickBot="1" x14ac:dyDescent="0.3">
      <c r="A346" s="3"/>
      <c r="B346" s="7" t="s">
        <v>7</v>
      </c>
      <c r="C346" s="4" t="s">
        <v>43</v>
      </c>
      <c r="D346" s="10" t="s">
        <v>253</v>
      </c>
      <c r="E346" s="7" t="s">
        <v>30</v>
      </c>
      <c r="F346" s="2" t="s">
        <v>301</v>
      </c>
      <c r="G346" s="7" t="s">
        <v>34</v>
      </c>
      <c r="H346" s="4" t="s">
        <v>4</v>
      </c>
      <c r="I346" s="2">
        <f>3.0044+2.1904</f>
        <v>5.1947999999999999</v>
      </c>
      <c r="J346" s="2"/>
      <c r="K346" s="12"/>
      <c r="L346" s="6" t="s">
        <v>267</v>
      </c>
    </row>
    <row r="347" spans="1:12" s="8" customFormat="1" ht="45" customHeight="1" thickBot="1" x14ac:dyDescent="0.3">
      <c r="A347" s="3"/>
      <c r="B347" s="7" t="s">
        <v>7</v>
      </c>
      <c r="C347" s="4" t="s">
        <v>144</v>
      </c>
      <c r="D347" s="10" t="s">
        <v>85</v>
      </c>
      <c r="E347" s="7" t="s">
        <v>30</v>
      </c>
      <c r="F347" s="2" t="s">
        <v>301</v>
      </c>
      <c r="G347" s="7" t="s">
        <v>34</v>
      </c>
      <c r="H347" s="4" t="s">
        <v>4</v>
      </c>
      <c r="I347" s="2">
        <v>4.5</v>
      </c>
      <c r="J347" s="2"/>
      <c r="K347" s="12"/>
      <c r="L347" s="6" t="s">
        <v>263</v>
      </c>
    </row>
    <row r="348" spans="1:12" ht="45" customHeight="1" thickBot="1" x14ac:dyDescent="0.3">
      <c r="A348" s="3"/>
      <c r="B348" s="7" t="s">
        <v>7</v>
      </c>
      <c r="C348" s="4" t="s">
        <v>144</v>
      </c>
      <c r="D348" s="10" t="s">
        <v>96</v>
      </c>
      <c r="E348" s="7" t="s">
        <v>30</v>
      </c>
      <c r="F348" s="2" t="s">
        <v>301</v>
      </c>
      <c r="G348" s="7" t="s">
        <v>34</v>
      </c>
      <c r="H348" s="4" t="s">
        <v>4</v>
      </c>
      <c r="I348" s="2">
        <v>4.5</v>
      </c>
      <c r="J348" s="4"/>
      <c r="K348" s="11"/>
      <c r="L348" s="6" t="s">
        <v>263</v>
      </c>
    </row>
    <row r="349" spans="1:12" ht="45" customHeight="1" thickBot="1" x14ac:dyDescent="0.3">
      <c r="A349" s="3"/>
      <c r="B349" s="7" t="s">
        <v>7</v>
      </c>
      <c r="C349" s="4" t="s">
        <v>196</v>
      </c>
      <c r="D349" s="10" t="s">
        <v>233</v>
      </c>
      <c r="E349" s="7" t="s">
        <v>30</v>
      </c>
      <c r="F349" s="2" t="s">
        <v>301</v>
      </c>
      <c r="G349" s="7" t="s">
        <v>34</v>
      </c>
      <c r="H349" s="4" t="s">
        <v>4</v>
      </c>
      <c r="I349" s="2">
        <v>3.6</v>
      </c>
      <c r="J349" s="4"/>
      <c r="K349" s="11"/>
      <c r="L349" s="6" t="s">
        <v>263</v>
      </c>
    </row>
    <row r="350" spans="1:12" ht="45" customHeight="1" thickBot="1" x14ac:dyDescent="0.3">
      <c r="A350" s="3"/>
      <c r="B350" s="7" t="s">
        <v>7</v>
      </c>
      <c r="C350" s="4" t="s">
        <v>43</v>
      </c>
      <c r="D350" s="10" t="s">
        <v>261</v>
      </c>
      <c r="E350" s="7" t="s">
        <v>30</v>
      </c>
      <c r="F350" s="2" t="s">
        <v>301</v>
      </c>
      <c r="G350" s="7" t="s">
        <v>34</v>
      </c>
      <c r="H350" s="4" t="s">
        <v>4</v>
      </c>
      <c r="I350" s="2">
        <f>1.116+1.456</f>
        <v>2.5720000000000001</v>
      </c>
      <c r="J350" s="4"/>
      <c r="K350" s="11"/>
      <c r="L350" s="6" t="s">
        <v>263</v>
      </c>
    </row>
    <row r="351" spans="1:12" ht="45" customHeight="1" thickBot="1" x14ac:dyDescent="0.3">
      <c r="A351" s="3"/>
      <c r="B351" s="7" t="s">
        <v>7</v>
      </c>
      <c r="C351" s="4" t="s">
        <v>43</v>
      </c>
      <c r="D351" s="10" t="s">
        <v>253</v>
      </c>
      <c r="E351" s="7" t="s">
        <v>30</v>
      </c>
      <c r="F351" s="2" t="s">
        <v>301</v>
      </c>
      <c r="G351" s="7" t="s">
        <v>34</v>
      </c>
      <c r="H351" s="4" t="s">
        <v>4</v>
      </c>
      <c r="I351" s="2">
        <f>1.55+1.12</f>
        <v>2.67</v>
      </c>
      <c r="J351" s="4"/>
      <c r="K351" s="11"/>
      <c r="L351" s="6" t="s">
        <v>263</v>
      </c>
    </row>
    <row r="352" spans="1:12" s="8" customFormat="1" ht="45" customHeight="1" thickBot="1" x14ac:dyDescent="0.3">
      <c r="A352" s="3"/>
      <c r="B352" s="7" t="s">
        <v>7</v>
      </c>
      <c r="C352" s="4" t="s">
        <v>144</v>
      </c>
      <c r="D352" s="16" t="s">
        <v>97</v>
      </c>
      <c r="E352" s="7" t="s">
        <v>30</v>
      </c>
      <c r="F352" s="2" t="s">
        <v>301</v>
      </c>
      <c r="G352" s="2" t="s">
        <v>34</v>
      </c>
      <c r="H352" s="4" t="s">
        <v>4</v>
      </c>
      <c r="I352" s="2">
        <v>22.512</v>
      </c>
      <c r="J352" s="2"/>
      <c r="K352" s="12"/>
      <c r="L352" s="6"/>
    </row>
    <row r="353" spans="1:12" ht="45" customHeight="1" thickBot="1" x14ac:dyDescent="0.3">
      <c r="A353" s="3"/>
      <c r="B353" s="7" t="s">
        <v>7</v>
      </c>
      <c r="C353" s="7" t="s">
        <v>306</v>
      </c>
      <c r="D353" s="14" t="s">
        <v>307</v>
      </c>
      <c r="E353" s="7" t="s">
        <v>30</v>
      </c>
      <c r="F353" s="2" t="s">
        <v>301</v>
      </c>
      <c r="G353" s="7" t="s">
        <v>32</v>
      </c>
      <c r="H353" s="4" t="s">
        <v>48</v>
      </c>
      <c r="I353" s="4">
        <v>18</v>
      </c>
      <c r="J353" s="4"/>
      <c r="K353" s="11"/>
      <c r="L353" s="5"/>
    </row>
    <row r="354" spans="1:12" ht="45" customHeight="1" thickBot="1" x14ac:dyDescent="0.3">
      <c r="A354" s="3"/>
      <c r="B354" s="7"/>
      <c r="C354" s="2"/>
      <c r="D354" s="2"/>
      <c r="E354" s="7"/>
      <c r="F354" s="2"/>
      <c r="G354" s="7"/>
      <c r="H354" s="4"/>
      <c r="I354" s="4"/>
      <c r="J354" s="4"/>
      <c r="K354" s="11"/>
      <c r="L354" s="44"/>
    </row>
    <row r="355" spans="1:12" ht="45" customHeight="1" thickBot="1" x14ac:dyDescent="0.3">
      <c r="A355" s="3"/>
      <c r="B355" s="7"/>
      <c r="C355" s="2"/>
      <c r="D355" s="2"/>
      <c r="E355" s="7"/>
      <c r="F355" s="2"/>
      <c r="G355" s="7"/>
      <c r="H355" s="4"/>
      <c r="I355" s="4"/>
      <c r="J355" s="4"/>
      <c r="K355" s="11"/>
      <c r="L355" s="44"/>
    </row>
    <row r="356" spans="1:12" ht="45" customHeight="1" thickBot="1" x14ac:dyDescent="0.3">
      <c r="A356" s="3"/>
      <c r="B356" s="7"/>
      <c r="C356" s="2"/>
      <c r="D356" s="2"/>
      <c r="E356" s="7"/>
      <c r="F356" s="2"/>
      <c r="G356" s="7"/>
      <c r="H356" s="4"/>
      <c r="I356" s="4"/>
      <c r="J356" s="4"/>
      <c r="K356" s="11"/>
      <c r="L356" s="44"/>
    </row>
    <row r="357" spans="1:12" ht="45" customHeight="1" thickBot="1" x14ac:dyDescent="0.3">
      <c r="A357" s="3"/>
      <c r="B357" s="7"/>
      <c r="C357" s="2"/>
      <c r="D357" s="2"/>
      <c r="E357" s="7"/>
      <c r="F357" s="2"/>
      <c r="G357" s="7"/>
      <c r="H357" s="4"/>
      <c r="I357" s="4"/>
      <c r="J357" s="4"/>
      <c r="K357" s="11"/>
      <c r="L357" s="44"/>
    </row>
    <row r="358" spans="1:12" ht="45" customHeight="1" thickBot="1" x14ac:dyDescent="0.3">
      <c r="A358" s="3"/>
      <c r="B358" s="7"/>
      <c r="C358" s="2"/>
      <c r="D358" s="2"/>
      <c r="E358" s="7"/>
      <c r="F358" s="2"/>
      <c r="G358" s="7"/>
      <c r="H358" s="4"/>
      <c r="I358" s="4"/>
      <c r="J358" s="4"/>
      <c r="K358" s="11"/>
      <c r="L358" s="44"/>
    </row>
    <row r="359" spans="1:12" ht="45" customHeight="1" thickBot="1" x14ac:dyDescent="0.3">
      <c r="A359" s="3"/>
      <c r="B359" s="7"/>
      <c r="C359" s="2"/>
      <c r="D359" s="2"/>
      <c r="E359" s="7"/>
      <c r="F359" s="2"/>
      <c r="G359" s="7"/>
      <c r="H359" s="4"/>
      <c r="I359" s="4"/>
      <c r="J359" s="4"/>
      <c r="K359" s="11"/>
      <c r="L359" s="44"/>
    </row>
    <row r="360" spans="1:12" ht="45" customHeight="1" thickBot="1" x14ac:dyDescent="0.3">
      <c r="A360" s="3"/>
      <c r="B360" s="7"/>
      <c r="C360" s="2"/>
      <c r="D360" s="2"/>
      <c r="E360" s="7"/>
      <c r="F360" s="2"/>
      <c r="G360" s="7"/>
      <c r="H360" s="4"/>
      <c r="I360" s="4"/>
      <c r="J360" s="4"/>
      <c r="K360" s="11"/>
      <c r="L360" s="44"/>
    </row>
    <row r="361" spans="1:12" ht="45" customHeight="1" thickBot="1" x14ac:dyDescent="0.3">
      <c r="A361" s="3"/>
      <c r="B361" s="7"/>
      <c r="C361" s="2"/>
      <c r="D361" s="2"/>
      <c r="E361" s="7"/>
      <c r="F361" s="2"/>
      <c r="G361" s="7"/>
      <c r="H361" s="4"/>
      <c r="I361" s="4"/>
      <c r="J361" s="4"/>
      <c r="K361" s="11"/>
      <c r="L361" s="44"/>
    </row>
    <row r="362" spans="1:12" ht="45" customHeight="1" thickBot="1" x14ac:dyDescent="0.3">
      <c r="A362" s="3"/>
      <c r="B362" s="7"/>
      <c r="C362" s="2"/>
      <c r="D362" s="2"/>
      <c r="E362" s="7"/>
      <c r="F362" s="2"/>
      <c r="G362" s="7"/>
      <c r="H362" s="4"/>
      <c r="I362" s="4"/>
      <c r="J362" s="4"/>
      <c r="K362" s="11"/>
      <c r="L362" s="44"/>
    </row>
    <row r="363" spans="1:12" ht="45" customHeight="1" thickBot="1" x14ac:dyDescent="0.3">
      <c r="A363" s="3"/>
      <c r="B363" s="7"/>
      <c r="C363" s="2"/>
      <c r="D363" s="2"/>
      <c r="E363" s="7"/>
      <c r="F363" s="2"/>
      <c r="G363" s="7"/>
      <c r="H363" s="4"/>
      <c r="I363" s="4"/>
      <c r="J363" s="4"/>
      <c r="K363" s="11"/>
      <c r="L363" s="44"/>
    </row>
    <row r="364" spans="1:12" ht="45" customHeight="1" thickBot="1" x14ac:dyDescent="0.3">
      <c r="A364" s="3"/>
      <c r="B364" s="7"/>
      <c r="C364" s="2"/>
      <c r="D364" s="2"/>
      <c r="E364" s="7"/>
      <c r="F364" s="2"/>
      <c r="G364" s="7"/>
      <c r="H364" s="4"/>
      <c r="I364" s="4"/>
      <c r="J364" s="4"/>
      <c r="K364" s="11"/>
      <c r="L364" s="44"/>
    </row>
    <row r="365" spans="1:12" ht="45" customHeight="1" thickBot="1" x14ac:dyDescent="0.3">
      <c r="A365" s="3"/>
      <c r="B365" s="7"/>
      <c r="C365" s="2"/>
      <c r="D365" s="2"/>
      <c r="E365" s="7"/>
      <c r="F365" s="2"/>
      <c r="G365" s="7"/>
      <c r="H365" s="4"/>
      <c r="I365" s="4"/>
      <c r="J365" s="4"/>
      <c r="K365" s="11"/>
      <c r="L365" s="44"/>
    </row>
    <row r="366" spans="1:12" ht="45" customHeight="1" thickBot="1" x14ac:dyDescent="0.3">
      <c r="A366" s="3"/>
      <c r="B366" s="7"/>
      <c r="C366" s="2"/>
      <c r="D366" s="2"/>
      <c r="E366" s="7"/>
      <c r="F366" s="2"/>
      <c r="G366" s="7"/>
      <c r="H366" s="4"/>
      <c r="I366" s="4"/>
      <c r="J366" s="4"/>
      <c r="K366" s="11"/>
      <c r="L366" s="44"/>
    </row>
    <row r="367" spans="1:12" ht="45" customHeight="1" thickBot="1" x14ac:dyDescent="0.3">
      <c r="A367" s="3"/>
      <c r="B367" s="7"/>
      <c r="C367" s="2"/>
      <c r="D367" s="2"/>
      <c r="E367" s="7"/>
      <c r="F367" s="2"/>
      <c r="G367" s="7"/>
      <c r="H367" s="4"/>
      <c r="I367" s="4"/>
      <c r="J367" s="4"/>
      <c r="K367" s="11"/>
      <c r="L367" s="44"/>
    </row>
    <row r="368" spans="1:12" ht="45" customHeight="1" thickBot="1" x14ac:dyDescent="0.3">
      <c r="A368" s="3"/>
      <c r="B368" s="7"/>
      <c r="C368" s="2"/>
      <c r="D368" s="2"/>
      <c r="E368" s="7"/>
      <c r="F368" s="2"/>
      <c r="G368" s="7"/>
      <c r="H368" s="4"/>
      <c r="I368" s="4"/>
      <c r="J368" s="4"/>
      <c r="K368" s="11"/>
      <c r="L368" s="44"/>
    </row>
    <row r="369" spans="1:12" ht="45" customHeight="1" thickBot="1" x14ac:dyDescent="0.3">
      <c r="A369" s="3"/>
      <c r="B369" s="7"/>
      <c r="C369" s="2"/>
      <c r="D369" s="2"/>
      <c r="E369" s="7"/>
      <c r="F369" s="2"/>
      <c r="G369" s="7"/>
      <c r="H369" s="4"/>
      <c r="I369" s="4"/>
      <c r="J369" s="4"/>
      <c r="K369" s="11"/>
      <c r="L369" s="44"/>
    </row>
    <row r="370" spans="1:12" ht="45" customHeight="1" thickBot="1" x14ac:dyDescent="0.3">
      <c r="A370" s="3"/>
      <c r="B370" s="7"/>
      <c r="C370" s="2"/>
      <c r="D370" s="2"/>
      <c r="E370" s="7"/>
      <c r="F370" s="2"/>
      <c r="G370" s="7"/>
      <c r="H370" s="4"/>
      <c r="I370" s="4"/>
      <c r="J370" s="4"/>
      <c r="K370" s="11"/>
      <c r="L370" s="44"/>
    </row>
    <row r="371" spans="1:12" ht="45" customHeight="1" thickBot="1" x14ac:dyDescent="0.3">
      <c r="A371" s="3"/>
      <c r="B371" s="7"/>
      <c r="C371" s="2"/>
      <c r="D371" s="2"/>
      <c r="E371" s="7"/>
      <c r="F371" s="2"/>
      <c r="G371" s="7"/>
      <c r="H371" s="4"/>
      <c r="I371" s="4"/>
      <c r="J371" s="4"/>
      <c r="K371" s="11"/>
      <c r="L371" s="44"/>
    </row>
    <row r="372" spans="1:12" ht="45" customHeight="1" thickBot="1" x14ac:dyDescent="0.3">
      <c r="A372" s="3"/>
      <c r="B372" s="7"/>
      <c r="C372" s="2"/>
      <c r="D372" s="2"/>
      <c r="E372" s="7"/>
      <c r="F372" s="2"/>
      <c r="G372" s="7"/>
      <c r="H372" s="4"/>
      <c r="I372" s="4"/>
      <c r="J372" s="4"/>
      <c r="K372" s="11"/>
      <c r="L372" s="44"/>
    </row>
    <row r="373" spans="1:12" ht="45" customHeight="1" thickBot="1" x14ac:dyDescent="0.3">
      <c r="A373" s="3"/>
      <c r="B373" s="7"/>
      <c r="C373" s="2"/>
      <c r="D373" s="2"/>
      <c r="E373" s="7"/>
      <c r="F373" s="2"/>
      <c r="G373" s="7"/>
      <c r="H373" s="4"/>
      <c r="I373" s="4"/>
      <c r="J373" s="4"/>
      <c r="K373" s="11"/>
      <c r="L373" s="44"/>
    </row>
    <row r="374" spans="1:12" ht="45" customHeight="1" thickBot="1" x14ac:dyDescent="0.3">
      <c r="A374" s="3"/>
      <c r="B374" s="7"/>
      <c r="C374" s="2"/>
      <c r="D374" s="2"/>
      <c r="E374" s="7"/>
      <c r="F374" s="2"/>
      <c r="G374" s="7"/>
      <c r="H374" s="4"/>
      <c r="I374" s="4"/>
      <c r="J374" s="4"/>
      <c r="K374" s="11"/>
      <c r="L374" s="44"/>
    </row>
    <row r="375" spans="1:12" ht="45" customHeight="1" thickBot="1" x14ac:dyDescent="0.3">
      <c r="A375" s="3"/>
      <c r="B375" s="7"/>
      <c r="C375" s="2"/>
      <c r="D375" s="2"/>
      <c r="E375" s="7"/>
      <c r="F375" s="2"/>
      <c r="G375" s="7"/>
      <c r="H375" s="4"/>
      <c r="I375" s="4"/>
      <c r="J375" s="4"/>
      <c r="K375" s="11"/>
      <c r="L375" s="44"/>
    </row>
    <row r="376" spans="1:12" ht="45" customHeight="1" thickBot="1" x14ac:dyDescent="0.3">
      <c r="A376" s="3"/>
      <c r="B376" s="7"/>
      <c r="C376" s="2"/>
      <c r="D376" s="2"/>
      <c r="E376" s="7"/>
      <c r="F376" s="2"/>
      <c r="G376" s="7"/>
      <c r="H376" s="4"/>
      <c r="I376" s="4"/>
      <c r="J376" s="4"/>
      <c r="K376" s="11"/>
      <c r="L376" s="44"/>
    </row>
    <row r="377" spans="1:12" ht="45" customHeight="1" thickBot="1" x14ac:dyDescent="0.3">
      <c r="A377" s="3"/>
      <c r="B377" s="7"/>
      <c r="C377" s="2"/>
      <c r="D377" s="2"/>
      <c r="E377" s="7"/>
      <c r="F377" s="2"/>
      <c r="G377" s="7"/>
      <c r="H377" s="4"/>
      <c r="I377" s="4"/>
      <c r="J377" s="4"/>
      <c r="K377" s="11"/>
      <c r="L377" s="44"/>
    </row>
    <row r="378" spans="1:12" ht="45" customHeight="1" thickBot="1" x14ac:dyDescent="0.3">
      <c r="A378" s="3"/>
      <c r="B378" s="7"/>
      <c r="C378" s="2"/>
      <c r="D378" s="2"/>
      <c r="E378" s="7"/>
      <c r="F378" s="2"/>
      <c r="G378" s="7"/>
      <c r="H378" s="4"/>
      <c r="I378" s="4"/>
      <c r="J378" s="4"/>
      <c r="K378" s="11"/>
      <c r="L378" s="44"/>
    </row>
    <row r="379" spans="1:12" ht="45" customHeight="1" thickBot="1" x14ac:dyDescent="0.3">
      <c r="A379" s="3"/>
      <c r="B379" s="7"/>
      <c r="C379" s="2"/>
      <c r="D379" s="2"/>
      <c r="E379" s="7"/>
      <c r="F379" s="2"/>
      <c r="G379" s="7"/>
      <c r="H379" s="4"/>
      <c r="I379" s="4"/>
      <c r="J379" s="4"/>
      <c r="K379" s="11"/>
      <c r="L379" s="44"/>
    </row>
    <row r="380" spans="1:12" ht="45" customHeight="1" thickBot="1" x14ac:dyDescent="0.3">
      <c r="A380" s="3"/>
      <c r="B380" s="7"/>
      <c r="C380" s="2"/>
      <c r="D380" s="2"/>
      <c r="E380" s="7"/>
      <c r="F380" s="2"/>
      <c r="G380" s="7"/>
      <c r="H380" s="4"/>
      <c r="I380" s="4"/>
      <c r="J380" s="4"/>
      <c r="K380" s="11"/>
      <c r="L380" s="44"/>
    </row>
    <row r="381" spans="1:12" ht="45" customHeight="1" thickBot="1" x14ac:dyDescent="0.3">
      <c r="A381" s="3"/>
      <c r="B381" s="7"/>
      <c r="C381" s="2"/>
      <c r="D381" s="2"/>
      <c r="E381" s="7"/>
      <c r="F381" s="2"/>
      <c r="G381" s="7"/>
      <c r="H381" s="4"/>
      <c r="I381" s="4"/>
      <c r="J381" s="4"/>
      <c r="K381" s="11"/>
      <c r="L381" s="44"/>
    </row>
    <row r="382" spans="1:12" ht="45" customHeight="1" thickBot="1" x14ac:dyDescent="0.3">
      <c r="A382" s="3"/>
      <c r="B382" s="7"/>
      <c r="C382" s="2"/>
      <c r="D382" s="2"/>
      <c r="E382" s="7"/>
      <c r="F382" s="2"/>
      <c r="G382" s="7"/>
      <c r="H382" s="4"/>
      <c r="I382" s="4"/>
      <c r="J382" s="4"/>
      <c r="K382" s="11"/>
      <c r="L382" s="44"/>
    </row>
    <row r="383" spans="1:12" ht="45" customHeight="1" thickBot="1" x14ac:dyDescent="0.3">
      <c r="A383" s="3"/>
      <c r="B383" s="7"/>
      <c r="C383" s="2"/>
      <c r="D383" s="2"/>
      <c r="E383" s="7"/>
      <c r="F383" s="2"/>
      <c r="G383" s="7"/>
      <c r="H383" s="4"/>
      <c r="I383" s="4"/>
      <c r="J383" s="4"/>
      <c r="K383" s="11"/>
      <c r="L383" s="44"/>
    </row>
    <row r="384" spans="1:12" ht="45" customHeight="1" thickBot="1" x14ac:dyDescent="0.3">
      <c r="A384" s="3"/>
      <c r="B384" s="7"/>
      <c r="C384" s="2"/>
      <c r="D384" s="2"/>
      <c r="E384" s="7"/>
      <c r="F384" s="2"/>
      <c r="G384" s="7"/>
      <c r="H384" s="4"/>
      <c r="I384" s="4"/>
      <c r="J384" s="4"/>
      <c r="K384" s="11"/>
      <c r="L384" s="44"/>
    </row>
    <row r="385" spans="1:12" ht="45" customHeight="1" thickBot="1" x14ac:dyDescent="0.3">
      <c r="A385" s="3"/>
      <c r="B385" s="7"/>
      <c r="C385" s="2"/>
      <c r="D385" s="2"/>
      <c r="E385" s="7"/>
      <c r="F385" s="2"/>
      <c r="G385" s="7"/>
      <c r="H385" s="4"/>
      <c r="I385" s="4"/>
      <c r="J385" s="4"/>
      <c r="K385" s="11"/>
      <c r="L385" s="44"/>
    </row>
    <row r="386" spans="1:12" ht="45" customHeight="1" thickBot="1" x14ac:dyDescent="0.3">
      <c r="A386" s="3"/>
      <c r="B386" s="7"/>
      <c r="C386" s="2"/>
      <c r="D386" s="2"/>
      <c r="E386" s="7"/>
      <c r="F386" s="2"/>
      <c r="G386" s="7"/>
      <c r="H386" s="4"/>
      <c r="I386" s="4"/>
      <c r="J386" s="4"/>
      <c r="K386" s="11"/>
      <c r="L386" s="44"/>
    </row>
    <row r="387" spans="1:12" ht="45" customHeight="1" thickBot="1" x14ac:dyDescent="0.3">
      <c r="A387" s="3"/>
      <c r="B387" s="7"/>
      <c r="C387" s="2"/>
      <c r="D387" s="2"/>
      <c r="E387" s="7"/>
      <c r="F387" s="2"/>
      <c r="G387" s="7"/>
      <c r="H387" s="4"/>
      <c r="I387" s="4"/>
      <c r="J387" s="4"/>
      <c r="K387" s="11"/>
      <c r="L387" s="44"/>
    </row>
    <row r="388" spans="1:12" ht="45" customHeight="1" thickBot="1" x14ac:dyDescent="0.3">
      <c r="A388" s="3"/>
      <c r="B388" s="7"/>
      <c r="C388" s="2"/>
      <c r="D388" s="2"/>
      <c r="E388" s="7"/>
      <c r="F388" s="2"/>
      <c r="G388" s="7"/>
      <c r="H388" s="4"/>
      <c r="I388" s="4"/>
      <c r="J388" s="4"/>
      <c r="K388" s="11"/>
      <c r="L388" s="44"/>
    </row>
    <row r="389" spans="1:12" ht="45" customHeight="1" thickBot="1" x14ac:dyDescent="0.3">
      <c r="A389" s="3"/>
      <c r="B389" s="7"/>
      <c r="C389" s="2"/>
      <c r="D389" s="2"/>
      <c r="E389" s="7"/>
      <c r="F389" s="2"/>
      <c r="G389" s="7"/>
      <c r="H389" s="4"/>
      <c r="I389" s="4"/>
      <c r="J389" s="4"/>
      <c r="K389" s="11"/>
      <c r="L389" s="44"/>
    </row>
    <row r="390" spans="1:12" ht="45" customHeight="1" thickBot="1" x14ac:dyDescent="0.3">
      <c r="A390" s="3"/>
      <c r="B390" s="7"/>
      <c r="C390" s="2"/>
      <c r="D390" s="2"/>
      <c r="E390" s="7"/>
      <c r="F390" s="2"/>
      <c r="G390" s="7"/>
      <c r="H390" s="4"/>
      <c r="I390" s="4"/>
      <c r="J390" s="4"/>
      <c r="K390" s="11"/>
      <c r="L390" s="44"/>
    </row>
    <row r="391" spans="1:12" ht="45" customHeight="1" thickBot="1" x14ac:dyDescent="0.3">
      <c r="A391" s="3"/>
      <c r="B391" s="7"/>
      <c r="C391" s="2"/>
      <c r="D391" s="2"/>
      <c r="E391" s="7"/>
      <c r="F391" s="2"/>
      <c r="G391" s="7"/>
      <c r="H391" s="4"/>
      <c r="I391" s="4"/>
      <c r="J391" s="4"/>
      <c r="K391" s="11"/>
      <c r="L391" s="44"/>
    </row>
    <row r="392" spans="1:12" ht="45" customHeight="1" thickBot="1" x14ac:dyDescent="0.3">
      <c r="A392" s="3"/>
      <c r="B392" s="7"/>
      <c r="C392" s="2"/>
      <c r="D392" s="2"/>
      <c r="E392" s="7"/>
      <c r="F392" s="2"/>
      <c r="G392" s="7"/>
      <c r="H392" s="4"/>
      <c r="I392" s="4"/>
      <c r="J392" s="4"/>
      <c r="K392" s="11"/>
      <c r="L392" s="44"/>
    </row>
    <row r="393" spans="1:12" ht="45" customHeight="1" thickBot="1" x14ac:dyDescent="0.3">
      <c r="A393" s="3"/>
      <c r="B393" s="7"/>
      <c r="C393" s="2"/>
      <c r="D393" s="2"/>
      <c r="E393" s="7"/>
      <c r="F393" s="2"/>
      <c r="G393" s="7"/>
      <c r="H393" s="4"/>
      <c r="I393" s="4"/>
      <c r="J393" s="4"/>
      <c r="K393" s="11"/>
      <c r="L393" s="44"/>
    </row>
    <row r="394" spans="1:12" ht="45" customHeight="1" thickBot="1" x14ac:dyDescent="0.3">
      <c r="A394" s="3"/>
      <c r="B394" s="7"/>
      <c r="C394" s="2"/>
      <c r="D394" s="2"/>
      <c r="E394" s="7"/>
      <c r="F394" s="2"/>
      <c r="G394" s="7"/>
      <c r="H394" s="4"/>
      <c r="I394" s="4"/>
      <c r="J394" s="4"/>
      <c r="K394" s="11"/>
      <c r="L394" s="44"/>
    </row>
    <row r="395" spans="1:12" ht="45" customHeight="1" thickBot="1" x14ac:dyDescent="0.3">
      <c r="A395" s="3"/>
      <c r="B395" s="7"/>
      <c r="C395" s="2"/>
      <c r="D395" s="2"/>
      <c r="E395" s="7"/>
      <c r="F395" s="2"/>
      <c r="G395" s="7"/>
      <c r="H395" s="4"/>
      <c r="I395" s="4"/>
      <c r="J395" s="4"/>
      <c r="K395" s="11"/>
      <c r="L395" s="44"/>
    </row>
    <row r="396" spans="1:12" ht="45" customHeight="1" thickBot="1" x14ac:dyDescent="0.3">
      <c r="A396" s="3"/>
      <c r="B396" s="7"/>
      <c r="C396" s="2"/>
      <c r="D396" s="2"/>
      <c r="E396" s="7"/>
      <c r="F396" s="2"/>
      <c r="G396" s="7"/>
      <c r="H396" s="4"/>
      <c r="I396" s="4"/>
      <c r="J396" s="4"/>
      <c r="K396" s="11"/>
      <c r="L396" s="44"/>
    </row>
    <row r="397" spans="1:12" ht="45" customHeight="1" thickBot="1" x14ac:dyDescent="0.3">
      <c r="A397" s="3"/>
      <c r="B397" s="7"/>
      <c r="C397" s="4"/>
      <c r="D397" s="2"/>
      <c r="E397" s="7"/>
      <c r="F397" s="2"/>
      <c r="G397" s="7"/>
      <c r="H397" s="4"/>
      <c r="I397" s="4"/>
      <c r="J397" s="4"/>
      <c r="K397" s="11"/>
      <c r="L397" s="44"/>
    </row>
    <row r="398" spans="1:12" ht="45" customHeight="1" thickBot="1" x14ac:dyDescent="0.3">
      <c r="A398" s="3"/>
      <c r="B398" s="7"/>
      <c r="C398" s="4"/>
      <c r="D398" s="2"/>
      <c r="E398" s="7"/>
      <c r="F398" s="2"/>
      <c r="G398" s="7"/>
      <c r="H398" s="4"/>
      <c r="I398" s="4"/>
      <c r="J398" s="4"/>
      <c r="K398" s="11"/>
      <c r="L398" s="44"/>
    </row>
    <row r="399" spans="1:12" s="8" customFormat="1" ht="45" customHeight="1" thickBot="1" x14ac:dyDescent="0.3">
      <c r="A399" s="3"/>
      <c r="B399" s="7"/>
      <c r="C399" s="2"/>
      <c r="D399" s="10"/>
      <c r="E399" s="7"/>
      <c r="F399" s="7"/>
      <c r="G399" s="4"/>
      <c r="H399" s="4"/>
      <c r="I399" s="2"/>
      <c r="J399" s="2"/>
      <c r="K399" s="12"/>
      <c r="L399" s="6"/>
    </row>
    <row r="400" spans="1:12" s="8" customFormat="1" ht="45" customHeight="1" thickBot="1" x14ac:dyDescent="0.3">
      <c r="A400" s="3"/>
      <c r="B400" s="7"/>
      <c r="C400" s="2"/>
      <c r="D400" s="10"/>
      <c r="E400" s="7"/>
      <c r="F400" s="7"/>
      <c r="G400" s="4"/>
      <c r="H400" s="4"/>
      <c r="I400" s="2"/>
      <c r="J400" s="2"/>
      <c r="K400" s="12"/>
      <c r="L400" s="6"/>
    </row>
    <row r="401" spans="1:12" s="8" customFormat="1" ht="45" customHeight="1" thickBot="1" x14ac:dyDescent="0.3">
      <c r="A401" s="3"/>
      <c r="B401" s="7"/>
      <c r="C401" s="2"/>
      <c r="D401" s="2"/>
      <c r="E401" s="7"/>
      <c r="F401" s="7"/>
      <c r="G401" s="4"/>
      <c r="H401" s="4"/>
      <c r="I401" s="2"/>
      <c r="J401" s="2"/>
      <c r="K401" s="12"/>
      <c r="L401" s="6"/>
    </row>
    <row r="402" spans="1:12" s="8" customFormat="1" ht="45" customHeight="1" thickBot="1" x14ac:dyDescent="0.3">
      <c r="A402" s="3"/>
      <c r="B402" s="7"/>
      <c r="C402" s="2"/>
      <c r="D402" s="2"/>
      <c r="E402" s="7"/>
      <c r="F402" s="7"/>
      <c r="G402" s="4"/>
      <c r="H402" s="4"/>
      <c r="I402" s="2"/>
      <c r="J402" s="2"/>
      <c r="K402" s="12"/>
      <c r="L402" s="6"/>
    </row>
    <row r="403" spans="1:12" s="8" customFormat="1" ht="45" customHeight="1" thickBot="1" x14ac:dyDescent="0.3">
      <c r="A403" s="3"/>
      <c r="B403" s="7"/>
      <c r="C403" s="2"/>
      <c r="D403" s="15"/>
      <c r="E403" s="7"/>
      <c r="F403" s="2"/>
      <c r="G403" s="2"/>
      <c r="H403" s="4"/>
      <c r="I403" s="2"/>
      <c r="J403" s="2"/>
      <c r="K403" s="12"/>
      <c r="L403" s="6"/>
    </row>
    <row r="404" spans="1:12" s="8" customFormat="1" ht="45" customHeight="1" thickBot="1" x14ac:dyDescent="0.3">
      <c r="A404" s="3"/>
      <c r="B404" s="7"/>
      <c r="C404" s="2"/>
      <c r="D404" s="15"/>
      <c r="E404" s="2"/>
      <c r="F404" s="2"/>
      <c r="G404" s="2"/>
      <c r="H404" s="4"/>
      <c r="I404" s="2"/>
      <c r="J404" s="2"/>
      <c r="K404" s="12"/>
      <c r="L404" s="6"/>
    </row>
    <row r="405" spans="1:12" s="8" customFormat="1" ht="45" customHeight="1" thickBot="1" x14ac:dyDescent="0.3">
      <c r="A405" s="3"/>
      <c r="B405" s="7"/>
      <c r="C405" s="2"/>
      <c r="D405" s="15"/>
      <c r="E405" s="2"/>
      <c r="F405" s="2"/>
      <c r="G405" s="2"/>
      <c r="H405" s="4"/>
      <c r="I405" s="2"/>
      <c r="J405" s="2"/>
      <c r="K405" s="12"/>
      <c r="L405" s="6"/>
    </row>
    <row r="406" spans="1:12" s="8" customFormat="1" ht="45" customHeight="1" thickBot="1" x14ac:dyDescent="0.3">
      <c r="A406" s="3"/>
      <c r="B406" s="7"/>
      <c r="C406" s="2"/>
      <c r="D406" s="15"/>
      <c r="E406" s="2"/>
      <c r="F406" s="2"/>
      <c r="G406" s="2"/>
      <c r="H406" s="4"/>
      <c r="I406" s="2"/>
      <c r="J406" s="2"/>
      <c r="K406" s="12"/>
      <c r="L406" s="6"/>
    </row>
    <row r="407" spans="1:12" s="8" customFormat="1" ht="45" customHeight="1" thickBot="1" x14ac:dyDescent="0.3">
      <c r="A407" s="3"/>
      <c r="B407" s="7"/>
      <c r="C407" s="2"/>
      <c r="D407" s="15"/>
      <c r="E407" s="2"/>
      <c r="F407" s="2"/>
      <c r="G407" s="2"/>
      <c r="H407" s="4"/>
      <c r="I407" s="2"/>
      <c r="J407" s="2"/>
      <c r="K407" s="12"/>
      <c r="L407" s="6"/>
    </row>
    <row r="408" spans="1:12" s="8" customFormat="1" ht="45" customHeight="1" thickBot="1" x14ac:dyDescent="0.3">
      <c r="A408" s="3"/>
      <c r="B408" s="2" t="s">
        <v>18</v>
      </c>
      <c r="C408" s="2"/>
      <c r="D408" s="2"/>
      <c r="E408" s="2"/>
      <c r="F408" s="2"/>
      <c r="G408" s="2"/>
      <c r="H408" s="2" t="s">
        <v>4</v>
      </c>
      <c r="I408" s="2">
        <f>SUM(I7:I407)</f>
        <v>74685.275799999974</v>
      </c>
      <c r="J408" s="2"/>
      <c r="K408" s="12"/>
      <c r="L408" s="6"/>
    </row>
  </sheetData>
  <autoFilter ref="A5:L353" xr:uid="{00000000-0009-0000-0000-000005000000}"/>
  <mergeCells count="15">
    <mergeCell ref="C5:C6"/>
    <mergeCell ref="A1:L2"/>
    <mergeCell ref="A3:L3"/>
    <mergeCell ref="A4:L4"/>
    <mergeCell ref="A5:A6"/>
    <mergeCell ref="B5:B6"/>
    <mergeCell ref="H5:H6"/>
    <mergeCell ref="I5:I6"/>
    <mergeCell ref="J5:J6"/>
    <mergeCell ref="L5:L6"/>
    <mergeCell ref="D5:D6"/>
    <mergeCell ref="E5:E6"/>
    <mergeCell ref="K5:K6"/>
    <mergeCell ref="F5:F6"/>
    <mergeCell ref="G5:G6"/>
  </mergeCells>
  <pageMargins left="0.7" right="0.7" top="0.75" bottom="0.75" header="0.3" footer="0.3"/>
  <pageSetup scale="55" fitToHeight="0" orientation="landscape" r:id="rId1"/>
  <ignoredErrors>
    <ignoredError sqref="D118 D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TOWER-A</vt:lpstr>
      <vt:lpstr>TOWER-B</vt:lpstr>
      <vt:lpstr>PODIUM&amp;HJ&amp;CLUB</vt:lpstr>
      <vt:lpstr>TOWER-A,B BELOW 1ST FLOOR</vt:lpstr>
      <vt:lpstr>TOWER-C,D BELOW 1ST FLOOR </vt:lpstr>
      <vt:lpstr>1</vt:lpstr>
      <vt:lpstr>'1'!Print_Area</vt:lpstr>
      <vt:lpstr>'PODIUM&amp;HJ&amp;CLUB'!Print_Area</vt:lpstr>
      <vt:lpstr>'TOWER-A'!Print_Area</vt:lpstr>
      <vt:lpstr>'TOWER-A,B BELOW 1ST FLOOR'!Print_Area</vt:lpstr>
      <vt:lpstr>'TOWER-B'!Print_Area</vt:lpstr>
      <vt:lpstr>'TOWER-C,D BELOW 1ST FLOOR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2026-02-25T14:55:28Z</dcterms:modified>
</cp:coreProperties>
</file>